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TDL\"/>
    </mc:Choice>
  </mc:AlternateContent>
  <xr:revisionPtr revIDLastSave="0" documentId="13_ncr:1_{8004EADD-9592-4CD1-8821-106CDAE859C9}" xr6:coauthVersionLast="47" xr6:coauthVersionMax="47" xr10:uidLastSave="{00000000-0000-0000-0000-000000000000}"/>
  <bookViews>
    <workbookView xWindow="11424" yWindow="0" windowWidth="11712" windowHeight="12336" xr2:uid="{F6E11657-87EE-45C8-8F5E-5467A0EC1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J60" i="1"/>
  <c r="J61" i="1"/>
  <c r="J62" i="1"/>
  <c r="J63" i="1"/>
  <c r="J64" i="1"/>
  <c r="J65" i="1"/>
  <c r="J66" i="1"/>
  <c r="J59" i="1"/>
  <c r="I64" i="1"/>
  <c r="I65" i="1"/>
  <c r="I66" i="1"/>
  <c r="I63" i="1"/>
  <c r="I61" i="1"/>
  <c r="I62" i="1"/>
  <c r="I60" i="1"/>
  <c r="I59" i="1"/>
  <c r="D78" i="1"/>
  <c r="D79" i="1"/>
  <c r="D77" i="1"/>
  <c r="D69" i="1" a="1"/>
  <c r="D69" i="1" s="1"/>
  <c r="D68" i="1" a="1"/>
  <c r="D68" i="1" s="1"/>
  <c r="D70" i="1" a="1"/>
  <c r="D70" i="1" s="1"/>
  <c r="D71" i="1" a="1"/>
  <c r="D71" i="1" s="1"/>
  <c r="B54" i="1"/>
  <c r="C51" i="1"/>
  <c r="C50" i="1"/>
  <c r="C49" i="1"/>
  <c r="C48" i="1"/>
  <c r="C47" i="1"/>
  <c r="C46" i="1"/>
  <c r="C45" i="1"/>
  <c r="I37" i="1"/>
  <c r="I38" i="1"/>
  <c r="I39" i="1"/>
  <c r="I40" i="1"/>
  <c r="I41" i="1"/>
  <c r="I42" i="1"/>
  <c r="I43" i="1"/>
  <c r="I36" i="1"/>
  <c r="H37" i="1"/>
  <c r="H38" i="1"/>
  <c r="H39" i="1"/>
  <c r="H40" i="1"/>
  <c r="H41" i="1"/>
  <c r="H42" i="1"/>
  <c r="H43" i="1"/>
  <c r="H3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<sst xmlns="http://schemas.openxmlformats.org/spreadsheetml/2006/main" count="49" uniqueCount="49">
  <si>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>BÀI TẬP: DỰ ĐOÁN DOANH THU KEM THEO NHIỆT ĐỘ (Linear Regression)</t>
  </si>
  <si>
    <t>Temperature (F)</t>
  </si>
  <si>
    <t>Ice Cream Sales (Thousands of Dollars)</t>
  </si>
  <si>
    <t>2. Vẽ biểu đồ Scatter Plot</t>
  </si>
  <si>
    <t xml:space="preserve">1. Nhập dữ liệu </t>
  </si>
  <si>
    <t>3. Thêm đường truy hồi (đã làm ở bước 2)</t>
  </si>
  <si>
    <t>4. TÍNH M VÀ B</t>
  </si>
  <si>
    <t xml:space="preserve">4.1 Thêm cột dữ liệu phụ </t>
  </si>
  <si>
    <t>Temperature F</t>
  </si>
  <si>
    <t>Ice cream sales (doller in thousand)</t>
  </si>
  <si>
    <t>x:</t>
  </si>
  <si>
    <t>y:</t>
  </si>
  <si>
    <t>x*y</t>
  </si>
  <si>
    <t>x^2</t>
  </si>
  <si>
    <t>**Tính các tổng: SUM(x), SUM(y), SUM(x*y), SUM(x²), n:</t>
  </si>
  <si>
    <t>SUM(x)</t>
  </si>
  <si>
    <t>Sum(y)</t>
  </si>
  <si>
    <t>Sum(x*y)</t>
  </si>
  <si>
    <t>Sum(x^2)</t>
  </si>
  <si>
    <t>n</t>
  </si>
  <si>
    <t>**Tính M (slope)=</t>
  </si>
  <si>
    <t>**Tính b (intercept)=</t>
  </si>
  <si>
    <t>5. Dự đoán doanh thu khi nhiệt độ = 88.8°F , dùng phương trình y = mx + b</t>
  </si>
  <si>
    <t>kết quả:</t>
  </si>
  <si>
    <t>(dollar thousand)</t>
  </si>
  <si>
    <t>6. Tạo mô hình hồi quy tuyến tính đa biến 3 biến đọc lập:</t>
  </si>
  <si>
    <t>6.1 Nhập data</t>
  </si>
  <si>
    <t>D (Ice Cream Sales)</t>
  </si>
  <si>
    <t>Sunny Days</t>
  </si>
  <si>
    <t>Tourists</t>
  </si>
  <si>
    <t>Temperature</t>
  </si>
  <si>
    <t>Y-intercept</t>
  </si>
  <si>
    <t>7. Dự đoán bằng mô hình hồi quy đa biến</t>
  </si>
  <si>
    <t>Y = m1.x1 + m2.x2 + m3.x3 + b</t>
  </si>
  <si>
    <t>7.1 tạo bảng dữ liệu</t>
  </si>
  <si>
    <t>Tem</t>
  </si>
  <si>
    <t>Tou</t>
  </si>
  <si>
    <t>SunnyDay</t>
  </si>
  <si>
    <t>Pre Sales</t>
  </si>
  <si>
    <t>m3</t>
  </si>
  <si>
    <t>m2</t>
  </si>
  <si>
    <t>m1</t>
  </si>
  <si>
    <t>b</t>
  </si>
  <si>
    <t>B(tou)</t>
  </si>
  <si>
    <t>A (Tem)</t>
  </si>
  <si>
    <t>C(sunn)</t>
  </si>
  <si>
    <t>Predicted</t>
  </si>
  <si>
    <t>Error</t>
  </si>
  <si>
    <t>Sum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</si>
</sst>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Ice Cream Sale (dollar</a:t>
            </a:r>
            <a:r>
              <a:rPr lang="en-US" baseline="0"/>
              <a:t> in thousand)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Sheet1!$A$4:$A$11</c:f>
              <c:numCache>
                <c:formatCode>General</c:formatCode>
                <c:ptCount val="8"/>
                <c:pt idx="0">
                  <c:v>91</c:v>
                </c:pt>
                <c:pt idx="1">
                  <c:v>87</c:v>
                </c:pt>
                <c:pt idx="2">
                  <c:v>86</c:v>
                </c:pt>
                <c:pt idx="3">
                  <c:v>88</c:v>
                </c:pt>
                <c:pt idx="4">
                  <c:v>92.8</c:v>
                </c:pt>
                <c:pt idx="5">
                  <c:v>95.2</c:v>
                </c:pt>
                <c:pt idx="6">
                  <c:v>93.3</c:v>
                </c:pt>
                <c:pt idx="7">
                  <c:v>97.7</c:v>
                </c:pt>
              </c:numCache>
            </c:numRef>
          </c:xVal>
          <c:yVal>
            <c:numRef>
              <c:f>Sheet1!$B$4:$B$11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F-484B-968D-9A553F58CD08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Sheet1!$A$4:$A$11</c:f>
              <c:numCache>
                <c:formatCode>General</c:formatCode>
                <c:ptCount val="8"/>
                <c:pt idx="0">
                  <c:v>91</c:v>
                </c:pt>
                <c:pt idx="1">
                  <c:v>87</c:v>
                </c:pt>
                <c:pt idx="2">
                  <c:v>86</c:v>
                </c:pt>
                <c:pt idx="3">
                  <c:v>88</c:v>
                </c:pt>
                <c:pt idx="4">
                  <c:v>92.8</c:v>
                </c:pt>
                <c:pt idx="5">
                  <c:v>95.2</c:v>
                </c:pt>
                <c:pt idx="6">
                  <c:v>93.3</c:v>
                </c:pt>
                <c:pt idx="7">
                  <c:v>97.7</c:v>
                </c:pt>
              </c:numCache>
            </c:numRef>
          </c:xVal>
          <c:yVal>
            <c:numRef>
              <c:f>Sheet1!$C$4:$C$11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FF-484B-968D-9A553F58CD08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Sheet1!$A$4:$A$11</c:f>
              <c:numCache>
                <c:formatCode>General</c:formatCode>
                <c:ptCount val="8"/>
                <c:pt idx="0">
                  <c:v>91</c:v>
                </c:pt>
                <c:pt idx="1">
                  <c:v>87</c:v>
                </c:pt>
                <c:pt idx="2">
                  <c:v>86</c:v>
                </c:pt>
                <c:pt idx="3">
                  <c:v>88</c:v>
                </c:pt>
                <c:pt idx="4">
                  <c:v>92.8</c:v>
                </c:pt>
                <c:pt idx="5">
                  <c:v>95.2</c:v>
                </c:pt>
                <c:pt idx="6">
                  <c:v>93.3</c:v>
                </c:pt>
                <c:pt idx="7">
                  <c:v>97.7</c:v>
                </c:pt>
              </c:numCache>
            </c:numRef>
          </c:xVal>
          <c:yVal>
            <c:numRef>
              <c:f>Sheet1!$D$4:$D$11</c:f>
              <c:numCache>
                <c:formatCode>General</c:formatCode>
                <c:ptCount val="8"/>
                <c:pt idx="0">
                  <c:v>89.8</c:v>
                </c:pt>
                <c:pt idx="1">
                  <c:v>90.2</c:v>
                </c:pt>
                <c:pt idx="2">
                  <c:v>81.099999999999994</c:v>
                </c:pt>
                <c:pt idx="3">
                  <c:v>83</c:v>
                </c:pt>
                <c:pt idx="4">
                  <c:v>90.9</c:v>
                </c:pt>
                <c:pt idx="5">
                  <c:v>119</c:v>
                </c:pt>
                <c:pt idx="6">
                  <c:v>94.9</c:v>
                </c:pt>
                <c:pt idx="7">
                  <c:v>132.4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FF-484B-968D-9A553F58C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125775"/>
        <c:axId val="300125295"/>
      </c:scatterChart>
      <c:valAx>
        <c:axId val="30012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Temperatures</a:t>
                </a:r>
                <a:r>
                  <a:rPr lang="en-US" baseline="0"/>
                  <a:t> (F)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125295"/>
        <c:crosses val="autoZero"/>
        <c:crossBetween val="midCat"/>
      </c:valAx>
      <c:valAx>
        <c:axId val="30012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12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171450</xdr:rowOff>
    </xdr:from>
    <xdr:to>
      <xdr:col>7</xdr:col>
      <xdr:colOff>304800</xdr:colOff>
      <xdr:row>28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C149DF-A660-3682-B36F-7727FB3FF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7248-06BE-407F-B992-11161A6FD393}">
  <dimension ref="A1:J79"/>
  <sheetViews>
    <sheetView tabSelected="1" topLeftCell="D54" zoomScale="120" workbookViewId="0">
      <selection activeCell="G69" sqref="G69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4</v>
      </c>
    </row>
    <row r="3" spans="1:4" x14ac:dyDescent="0.3">
      <c r="A3" t="s">
        <v>1</v>
      </c>
      <c r="D3" t="s">
        <v>2</v>
      </c>
    </row>
    <row r="4" spans="1:4" x14ac:dyDescent="0.3">
      <c r="A4">
        <v>91</v>
      </c>
      <c r="D4">
        <v>89.8</v>
      </c>
    </row>
    <row r="5" spans="1:4" x14ac:dyDescent="0.3">
      <c r="A5">
        <v>87</v>
      </c>
      <c r="D5">
        <v>90.2</v>
      </c>
    </row>
    <row r="6" spans="1:4" x14ac:dyDescent="0.3">
      <c r="A6">
        <v>86</v>
      </c>
      <c r="D6">
        <v>81.099999999999994</v>
      </c>
    </row>
    <row r="7" spans="1:4" x14ac:dyDescent="0.3">
      <c r="A7">
        <v>88</v>
      </c>
      <c r="D7">
        <v>83</v>
      </c>
    </row>
    <row r="8" spans="1:4" x14ac:dyDescent="0.3">
      <c r="A8">
        <v>92.8</v>
      </c>
      <c r="D8">
        <v>90.9</v>
      </c>
    </row>
    <row r="9" spans="1:4" x14ac:dyDescent="0.3">
      <c r="A9">
        <v>95.2</v>
      </c>
      <c r="D9">
        <v>119</v>
      </c>
    </row>
    <row r="10" spans="1:4" x14ac:dyDescent="0.3">
      <c r="A10">
        <v>93.3</v>
      </c>
      <c r="D10">
        <v>94.9</v>
      </c>
    </row>
    <row r="11" spans="1:4" x14ac:dyDescent="0.3">
      <c r="A11">
        <v>97.7</v>
      </c>
      <c r="D11">
        <v>132.4</v>
      </c>
    </row>
    <row r="13" spans="1:4" x14ac:dyDescent="0.3">
      <c r="A13" t="s">
        <v>3</v>
      </c>
    </row>
    <row r="31" spans="1:1" x14ac:dyDescent="0.3">
      <c r="A31" t="s">
        <v>5</v>
      </c>
    </row>
    <row r="32" spans="1:1" x14ac:dyDescent="0.3">
      <c r="A32" t="s">
        <v>6</v>
      </c>
    </row>
    <row r="33" spans="1:9" x14ac:dyDescent="0.3">
      <c r="A33" t="s">
        <v>7</v>
      </c>
    </row>
    <row r="34" spans="1:9" x14ac:dyDescent="0.3">
      <c r="A34" t="s">
        <v>10</v>
      </c>
      <c r="D34" t="s">
        <v>11</v>
      </c>
      <c r="H34" t="s">
        <v>12</v>
      </c>
      <c r="I34" t="s">
        <v>13</v>
      </c>
    </row>
    <row r="35" spans="1:9" x14ac:dyDescent="0.3">
      <c r="A35" t="s">
        <v>8</v>
      </c>
      <c r="D35" t="s">
        <v>9</v>
      </c>
    </row>
    <row r="36" spans="1:9" x14ac:dyDescent="0.3">
      <c r="A36">
        <v>91</v>
      </c>
      <c r="D36">
        <v>89.8</v>
      </c>
      <c r="H36">
        <f>A36*D36</f>
        <v>8171.8</v>
      </c>
      <c r="I36">
        <f>A36^2</f>
        <v>8281</v>
      </c>
    </row>
    <row r="37" spans="1:9" x14ac:dyDescent="0.3">
      <c r="A37">
        <v>87</v>
      </c>
      <c r="D37">
        <v>90.2</v>
      </c>
      <c r="H37">
        <f t="shared" ref="H37:H43" si="0">A37*D37</f>
        <v>7847.4000000000005</v>
      </c>
      <c r="I37">
        <f t="shared" ref="I37:I43" si="1">A37^2</f>
        <v>7569</v>
      </c>
    </row>
    <row r="38" spans="1:9" x14ac:dyDescent="0.3">
      <c r="A38">
        <v>86</v>
      </c>
      <c r="D38">
        <v>81.099999999999994</v>
      </c>
      <c r="H38">
        <f t="shared" si="0"/>
        <v>6974.5999999999995</v>
      </c>
      <c r="I38">
        <f t="shared" si="1"/>
        <v>7396</v>
      </c>
    </row>
    <row r="39" spans="1:9" x14ac:dyDescent="0.3">
      <c r="A39">
        <v>88</v>
      </c>
      <c r="D39">
        <v>83</v>
      </c>
      <c r="H39">
        <f t="shared" si="0"/>
        <v>7304</v>
      </c>
      <c r="I39">
        <f t="shared" si="1"/>
        <v>7744</v>
      </c>
    </row>
    <row r="40" spans="1:9" x14ac:dyDescent="0.3">
      <c r="A40">
        <v>92.8</v>
      </c>
      <c r="D40">
        <v>90.9</v>
      </c>
      <c r="H40">
        <f t="shared" si="0"/>
        <v>8435.52</v>
      </c>
      <c r="I40">
        <f t="shared" si="1"/>
        <v>8611.84</v>
      </c>
    </row>
    <row r="41" spans="1:9" x14ac:dyDescent="0.3">
      <c r="A41">
        <v>95.2</v>
      </c>
      <c r="D41">
        <v>119</v>
      </c>
      <c r="H41">
        <f t="shared" si="0"/>
        <v>11328.800000000001</v>
      </c>
      <c r="I41">
        <f t="shared" si="1"/>
        <v>9063.0400000000009</v>
      </c>
    </row>
    <row r="42" spans="1:9" x14ac:dyDescent="0.3">
      <c r="A42">
        <v>93.3</v>
      </c>
      <c r="D42">
        <v>94.9</v>
      </c>
      <c r="H42">
        <f t="shared" si="0"/>
        <v>8854.17</v>
      </c>
      <c r="I42">
        <f t="shared" si="1"/>
        <v>8704.89</v>
      </c>
    </row>
    <row r="43" spans="1:9" x14ac:dyDescent="0.3">
      <c r="A43">
        <v>97.7</v>
      </c>
      <c r="D43">
        <v>132.4</v>
      </c>
      <c r="H43">
        <f t="shared" si="0"/>
        <v>12935.480000000001</v>
      </c>
      <c r="I43">
        <f t="shared" si="1"/>
        <v>9545.2900000000009</v>
      </c>
    </row>
    <row r="44" spans="1:9" x14ac:dyDescent="0.3">
      <c r="A44" t="s">
        <v>14</v>
      </c>
    </row>
    <row r="45" spans="1:9" x14ac:dyDescent="0.3">
      <c r="B45" t="s">
        <v>15</v>
      </c>
      <c r="C45">
        <f>SUM(A36:A43)</f>
        <v>731</v>
      </c>
    </row>
    <row r="46" spans="1:9" x14ac:dyDescent="0.3">
      <c r="B46" t="s">
        <v>16</v>
      </c>
      <c r="C46">
        <f>SUM(D36:D43)</f>
        <v>781.3</v>
      </c>
    </row>
    <row r="47" spans="1:9" x14ac:dyDescent="0.3">
      <c r="B47" t="s">
        <v>17</v>
      </c>
      <c r="C47">
        <f>SUM(H36:H43)</f>
        <v>71851.77</v>
      </c>
    </row>
    <row r="48" spans="1:9" x14ac:dyDescent="0.3">
      <c r="B48" t="s">
        <v>18</v>
      </c>
      <c r="C48">
        <f>SUM(I36:I43)</f>
        <v>66915.06</v>
      </c>
    </row>
    <row r="49" spans="1:10" x14ac:dyDescent="0.3">
      <c r="B49" t="s">
        <v>19</v>
      </c>
      <c r="C49">
        <f>COUNT(A36:A43)</f>
        <v>8</v>
      </c>
    </row>
    <row r="50" spans="1:10" x14ac:dyDescent="0.3">
      <c r="A50" t="s">
        <v>20</v>
      </c>
      <c r="C50">
        <f>(C49*C47 - C45*C46) / (C49*C48 - C45^2)</f>
        <v>3.8394338600076852</v>
      </c>
    </row>
    <row r="51" spans="1:10" x14ac:dyDescent="0.3">
      <c r="A51" t="s">
        <v>21</v>
      </c>
      <c r="C51">
        <f>(C46*C48 - C45*C47) / (C49*C48 - C45^2)</f>
        <v>-253.16576895819699</v>
      </c>
    </row>
    <row r="53" spans="1:10" x14ac:dyDescent="0.3">
      <c r="A53" t="s">
        <v>22</v>
      </c>
    </row>
    <row r="54" spans="1:10" x14ac:dyDescent="0.3">
      <c r="A54" t="s">
        <v>23</v>
      </c>
      <c r="B54">
        <f>C50*88.8 + C51</f>
        <v>87.775957810485437</v>
      </c>
      <c r="C54" t="s">
        <v>24</v>
      </c>
    </row>
    <row r="56" spans="1:10" x14ac:dyDescent="0.3">
      <c r="A56" t="s">
        <v>25</v>
      </c>
    </row>
    <row r="57" spans="1:10" x14ac:dyDescent="0.3">
      <c r="A57" t="s">
        <v>26</v>
      </c>
    </row>
    <row r="58" spans="1:10" x14ac:dyDescent="0.3">
      <c r="A58" t="s">
        <v>44</v>
      </c>
      <c r="B58" t="s">
        <v>43</v>
      </c>
      <c r="C58" t="s">
        <v>45</v>
      </c>
      <c r="G58" t="s">
        <v>27</v>
      </c>
      <c r="I58" t="s">
        <v>46</v>
      </c>
      <c r="J58" t="s">
        <v>47</v>
      </c>
    </row>
    <row r="59" spans="1:10" x14ac:dyDescent="0.3">
      <c r="A59">
        <v>91</v>
      </c>
      <c r="B59">
        <v>998</v>
      </c>
      <c r="C59">
        <v>4</v>
      </c>
      <c r="G59">
        <v>89.8</v>
      </c>
      <c r="I59">
        <f>D70*A59+D69*B59+D68*C59+D71</f>
        <v>88.770599892675023</v>
      </c>
      <c r="J59">
        <f>ABS(G59 - I59)</f>
        <v>1.0294001073249746</v>
      </c>
    </row>
    <row r="60" spans="1:10" x14ac:dyDescent="0.3">
      <c r="A60">
        <v>87</v>
      </c>
      <c r="B60">
        <v>1256</v>
      </c>
      <c r="C60">
        <v>7</v>
      </c>
      <c r="G60">
        <v>90.2</v>
      </c>
      <c r="I60">
        <f>$D$70*A60 + $D$69*B60 + $D$68*C60 + $D$71</f>
        <v>90.390725606528406</v>
      </c>
      <c r="J60">
        <f t="shared" ref="J60:J66" si="2">ABS(G60 - I60)</f>
        <v>0.19072560652840309</v>
      </c>
    </row>
    <row r="61" spans="1:10" x14ac:dyDescent="0.3">
      <c r="A61">
        <v>86</v>
      </c>
      <c r="B61">
        <v>791</v>
      </c>
      <c r="C61">
        <v>6</v>
      </c>
      <c r="G61">
        <v>81.099999999999994</v>
      </c>
      <c r="I61">
        <f>$D$70*A61 + $D$69*B61 + $D$68*C61 + $D$71</f>
        <v>81.08535834704594</v>
      </c>
      <c r="J61">
        <f t="shared" si="2"/>
        <v>1.4641652954054507E-2</v>
      </c>
    </row>
    <row r="62" spans="1:10" x14ac:dyDescent="0.3">
      <c r="A62">
        <v>88</v>
      </c>
      <c r="B62">
        <v>705</v>
      </c>
      <c r="C62">
        <v>5</v>
      </c>
      <c r="G62">
        <v>83</v>
      </c>
      <c r="I62">
        <f t="shared" ref="I62:I66" si="3">$D$70*A62 + $D$69*B62 + $D$68*C62 + $D$71</f>
        <v>83.195592678492687</v>
      </c>
      <c r="J62">
        <f t="shared" si="2"/>
        <v>0.19559267849268736</v>
      </c>
    </row>
    <row r="63" spans="1:10" x14ac:dyDescent="0.3">
      <c r="A63">
        <v>92.8</v>
      </c>
      <c r="B63">
        <v>1089</v>
      </c>
      <c r="C63">
        <v>3</v>
      </c>
      <c r="G63">
        <v>90.9</v>
      </c>
      <c r="I63">
        <f>$D$70*A63 + $D$69*B63 + $D$68*C63 + $D$71</f>
        <v>89.84727235480392</v>
      </c>
      <c r="J63">
        <f t="shared" si="2"/>
        <v>1.0527276451960859</v>
      </c>
    </row>
    <row r="64" spans="1:10" x14ac:dyDescent="0.3">
      <c r="A64">
        <v>95.2</v>
      </c>
      <c r="B64">
        <v>1135</v>
      </c>
      <c r="C64">
        <v>6</v>
      </c>
      <c r="G64">
        <v>119</v>
      </c>
      <c r="I64">
        <f t="shared" si="3"/>
        <v>117.19568579748471</v>
      </c>
      <c r="J64">
        <f t="shared" si="2"/>
        <v>1.8043142025152861</v>
      </c>
    </row>
    <row r="65" spans="1:10" x14ac:dyDescent="0.3">
      <c r="A65">
        <v>93.3</v>
      </c>
      <c r="B65">
        <v>1076</v>
      </c>
      <c r="C65">
        <v>4</v>
      </c>
      <c r="G65">
        <v>94.9</v>
      </c>
      <c r="I65">
        <f t="shared" si="3"/>
        <v>97.808960467081249</v>
      </c>
      <c r="J65">
        <f t="shared" si="2"/>
        <v>2.9089604670812435</v>
      </c>
    </row>
    <row r="66" spans="1:10" x14ac:dyDescent="0.3">
      <c r="A66">
        <v>97.7</v>
      </c>
      <c r="B66">
        <v>1198</v>
      </c>
      <c r="C66">
        <v>7</v>
      </c>
      <c r="G66">
        <v>132.4</v>
      </c>
      <c r="I66">
        <f t="shared" si="3"/>
        <v>133.00580485588836</v>
      </c>
      <c r="J66">
        <f t="shared" si="2"/>
        <v>0.60580485588835131</v>
      </c>
    </row>
    <row r="68" spans="1:10" x14ac:dyDescent="0.3">
      <c r="A68" t="s">
        <v>28</v>
      </c>
      <c r="B68">
        <v>1</v>
      </c>
      <c r="C68" t="s">
        <v>39</v>
      </c>
      <c r="D68" cm="1">
        <f t="array" ref="D68">INDEX(LINEST(G59:G66,A59:C66, TRUE, TRUE), 1, B68)</f>
        <v>5.9564655285595709</v>
      </c>
      <c r="E68" t="s">
        <v>48</v>
      </c>
      <c r="G68">
        <f>SUM(J59:J66)</f>
        <v>7.8021672159810862</v>
      </c>
    </row>
    <row r="69" spans="1:10" x14ac:dyDescent="0.3">
      <c r="A69" t="s">
        <v>29</v>
      </c>
      <c r="B69">
        <v>2</v>
      </c>
      <c r="C69" t="s">
        <v>40</v>
      </c>
      <c r="D69" cm="1">
        <f t="array" ref="D69">INDEX(LINEST(G59:G66, A59:C66, TRUE, TRUE), 1, B69)</f>
        <v>-1.3473389745675504E-3</v>
      </c>
    </row>
    <row r="70" spans="1:10" x14ac:dyDescent="0.3">
      <c r="A70" t="s">
        <v>30</v>
      </c>
      <c r="B70">
        <v>3</v>
      </c>
      <c r="C70" t="s">
        <v>41</v>
      </c>
      <c r="D70" cm="1">
        <f t="array" ref="D70">INDEX(LINEST(G59:G66,A59:C66, TRUE, TRUE), 1, B70)</f>
        <v>3.9754143540967339</v>
      </c>
    </row>
    <row r="71" spans="1:10" x14ac:dyDescent="0.3">
      <c r="A71" t="s">
        <v>31</v>
      </c>
      <c r="B71">
        <v>4</v>
      </c>
      <c r="C71" t="s">
        <v>42</v>
      </c>
      <c r="D71" cm="1">
        <f t="array" ref="D71">INDEX(LINEST(G59:G66,A59:C66, TRUE, TRUE), 1, B71)</f>
        <v>-295.47332414774763</v>
      </c>
    </row>
    <row r="73" spans="1:10" x14ac:dyDescent="0.3">
      <c r="A73" t="s">
        <v>32</v>
      </c>
    </row>
    <row r="74" spans="1:10" x14ac:dyDescent="0.3">
      <c r="A74" t="s">
        <v>33</v>
      </c>
    </row>
    <row r="75" spans="1:10" x14ac:dyDescent="0.3">
      <c r="A75" t="s">
        <v>34</v>
      </c>
    </row>
    <row r="76" spans="1:10" x14ac:dyDescent="0.3">
      <c r="A76" t="s">
        <v>35</v>
      </c>
      <c r="B76" t="s">
        <v>36</v>
      </c>
      <c r="C76" t="s">
        <v>37</v>
      </c>
      <c r="D76" t="s">
        <v>38</v>
      </c>
    </row>
    <row r="77" spans="1:10" x14ac:dyDescent="0.3">
      <c r="A77">
        <v>90</v>
      </c>
      <c r="B77">
        <v>1200</v>
      </c>
      <c r="C77">
        <v>6</v>
      </c>
      <c r="D77">
        <f>D70*A77+D69*B77+D68*C77</f>
        <v>391.90927827058243</v>
      </c>
    </row>
    <row r="78" spans="1:10" x14ac:dyDescent="0.3">
      <c r="A78">
        <v>80</v>
      </c>
      <c r="B78">
        <v>1000</v>
      </c>
      <c r="C78">
        <v>7</v>
      </c>
      <c r="D78">
        <f t="shared" ref="D78:D79" si="4">D71*A78+D70*B78+D69*C78</f>
        <v>-19662.461009095899</v>
      </c>
    </row>
    <row r="79" spans="1:10" x14ac:dyDescent="0.3">
      <c r="A79">
        <v>20</v>
      </c>
      <c r="B79">
        <v>1100</v>
      </c>
      <c r="C79">
        <v>6</v>
      </c>
      <c r="D79">
        <f t="shared" si="4"/>
        <v>-324996.80407639785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Lực Võ Thế</dc:creator>
  <cp:lastModifiedBy>Lực Võ Thế</cp:lastModifiedBy>
  <dcterms:created xsi:type="dcterms:W3CDTF">2025-11-27T08:30:29Z</dcterms:created>
  <dcterms:modified xsi:type="dcterms:W3CDTF">2025-11-28T10:38:04Z</dcterms:modified>
</cp:coreProperties>
</file>