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/>
  <xr:revisionPtr revIDLastSave="0" documentId="13_ncr:1_{D3162DFC-0564-4205-8BC0-43FC7A115D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</sheets>
  <definedNames>
    <definedName name="solver_adj" localSheetId="0" hidden="1">Sheet2!$B$4:$G$4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Sheet2!$M$1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8" i="2" l="1"/>
  <c r="J99" i="2"/>
  <c r="J100" i="2"/>
  <c r="J101" i="2"/>
  <c r="I99" i="2"/>
  <c r="I100" i="2"/>
  <c r="I101" i="2"/>
  <c r="I6" i="2"/>
  <c r="H98" i="2"/>
  <c r="I98" i="2" s="1"/>
  <c r="H99" i="2"/>
  <c r="H100" i="2"/>
  <c r="H101" i="2"/>
  <c r="H97" i="2"/>
  <c r="I97" i="2" s="1"/>
  <c r="J97" i="2" s="1"/>
  <c r="H6" i="2"/>
  <c r="G3" i="2" a="1"/>
  <c r="G3" i="2" s="1"/>
  <c r="C3" i="2" a="1"/>
  <c r="C3" i="2" s="1"/>
  <c r="D3" i="2" a="1"/>
  <c r="D3" i="2" s="1"/>
  <c r="E3" i="2" a="1"/>
  <c r="E3" i="2" s="1"/>
  <c r="F3" i="2" a="1"/>
  <c r="F3" i="2" s="1"/>
  <c r="B3" i="2" a="1"/>
  <c r="B3" i="2" s="1"/>
  <c r="H16" i="2" l="1"/>
  <c r="I16" i="2" s="1"/>
  <c r="H28" i="2"/>
  <c r="I28" i="2" s="1"/>
  <c r="H40" i="2"/>
  <c r="I40" i="2" s="1"/>
  <c r="H52" i="2"/>
  <c r="I52" i="2" s="1"/>
  <c r="H64" i="2"/>
  <c r="I64" i="2" s="1"/>
  <c r="H76" i="2"/>
  <c r="I76" i="2" s="1"/>
  <c r="H88" i="2"/>
  <c r="I88" i="2" s="1"/>
  <c r="H18" i="2"/>
  <c r="I18" i="2" s="1"/>
  <c r="H42" i="2"/>
  <c r="I42" i="2" s="1"/>
  <c r="H66" i="2"/>
  <c r="I66" i="2" s="1"/>
  <c r="H78" i="2"/>
  <c r="I78" i="2" s="1"/>
  <c r="H31" i="2"/>
  <c r="I31" i="2" s="1"/>
  <c r="H55" i="2"/>
  <c r="I55" i="2" s="1"/>
  <c r="H79" i="2"/>
  <c r="I79" i="2" s="1"/>
  <c r="H10" i="2"/>
  <c r="I10" i="2" s="1"/>
  <c r="H46" i="2"/>
  <c r="I46" i="2" s="1"/>
  <c r="H82" i="2"/>
  <c r="I82" i="2" s="1"/>
  <c r="H17" i="2"/>
  <c r="I17" i="2" s="1"/>
  <c r="H29" i="2"/>
  <c r="I29" i="2" s="1"/>
  <c r="H41" i="2"/>
  <c r="I41" i="2" s="1"/>
  <c r="H53" i="2"/>
  <c r="I53" i="2" s="1"/>
  <c r="H65" i="2"/>
  <c r="I65" i="2" s="1"/>
  <c r="H77" i="2"/>
  <c r="I77" i="2" s="1"/>
  <c r="H89" i="2"/>
  <c r="I89" i="2" s="1"/>
  <c r="H30" i="2"/>
  <c r="I30" i="2" s="1"/>
  <c r="H54" i="2"/>
  <c r="I54" i="2" s="1"/>
  <c r="H90" i="2"/>
  <c r="I90" i="2" s="1"/>
  <c r="H7" i="2"/>
  <c r="I7" i="2" s="1"/>
  <c r="H43" i="2"/>
  <c r="I43" i="2" s="1"/>
  <c r="H67" i="2"/>
  <c r="I67" i="2" s="1"/>
  <c r="H91" i="2"/>
  <c r="I91" i="2" s="1"/>
  <c r="H34" i="2"/>
  <c r="I34" i="2" s="1"/>
  <c r="H19" i="2"/>
  <c r="I19" i="2" s="1"/>
  <c r="H59" i="2"/>
  <c r="I59" i="2" s="1"/>
  <c r="H48" i="2"/>
  <c r="I48" i="2" s="1"/>
  <c r="H49" i="2"/>
  <c r="I49" i="2" s="1"/>
  <c r="H14" i="2"/>
  <c r="I14" i="2" s="1"/>
  <c r="H86" i="2"/>
  <c r="I86" i="2" s="1"/>
  <c r="H39" i="2"/>
  <c r="I39" i="2" s="1"/>
  <c r="H75" i="2"/>
  <c r="I75" i="2" s="1"/>
  <c r="H8" i="2"/>
  <c r="I8" i="2" s="1"/>
  <c r="H20" i="2"/>
  <c r="I20" i="2" s="1"/>
  <c r="H32" i="2"/>
  <c r="I32" i="2" s="1"/>
  <c r="H44" i="2"/>
  <c r="I44" i="2" s="1"/>
  <c r="H56" i="2"/>
  <c r="I56" i="2" s="1"/>
  <c r="H68" i="2"/>
  <c r="I68" i="2" s="1"/>
  <c r="H80" i="2"/>
  <c r="I80" i="2" s="1"/>
  <c r="H92" i="2"/>
  <c r="I92" i="2" s="1"/>
  <c r="H9" i="2"/>
  <c r="I9" i="2" s="1"/>
  <c r="H21" i="2"/>
  <c r="I21" i="2" s="1"/>
  <c r="H33" i="2"/>
  <c r="I33" i="2" s="1"/>
  <c r="H45" i="2"/>
  <c r="I45" i="2" s="1"/>
  <c r="H57" i="2"/>
  <c r="I57" i="2" s="1"/>
  <c r="H69" i="2"/>
  <c r="I69" i="2" s="1"/>
  <c r="H81" i="2"/>
  <c r="I81" i="2" s="1"/>
  <c r="H22" i="2"/>
  <c r="I22" i="2" s="1"/>
  <c r="H70" i="2"/>
  <c r="I70" i="2" s="1"/>
  <c r="H83" i="2"/>
  <c r="I83" i="2" s="1"/>
  <c r="H12" i="2"/>
  <c r="I12" i="2" s="1"/>
  <c r="H36" i="2"/>
  <c r="I36" i="2" s="1"/>
  <c r="H84" i="2"/>
  <c r="I84" i="2" s="1"/>
  <c r="H13" i="2"/>
  <c r="I13" i="2" s="1"/>
  <c r="H37" i="2"/>
  <c r="I37" i="2" s="1"/>
  <c r="H85" i="2"/>
  <c r="I85" i="2" s="1"/>
  <c r="H38" i="2"/>
  <c r="I38" i="2" s="1"/>
  <c r="H62" i="2"/>
  <c r="I62" i="2" s="1"/>
  <c r="H63" i="2"/>
  <c r="I63" i="2" s="1"/>
  <c r="H58" i="2"/>
  <c r="I58" i="2" s="1"/>
  <c r="H60" i="2"/>
  <c r="I60" i="2" s="1"/>
  <c r="H61" i="2"/>
  <c r="I61" i="2" s="1"/>
  <c r="H26" i="2"/>
  <c r="I26" i="2" s="1"/>
  <c r="H74" i="2"/>
  <c r="I74" i="2" s="1"/>
  <c r="H87" i="2"/>
  <c r="I87" i="2" s="1"/>
  <c r="H27" i="2"/>
  <c r="I27" i="2" s="1"/>
  <c r="H11" i="2"/>
  <c r="I11" i="2" s="1"/>
  <c r="H23" i="2"/>
  <c r="I23" i="2" s="1"/>
  <c r="H35" i="2"/>
  <c r="I35" i="2" s="1"/>
  <c r="H47" i="2"/>
  <c r="I47" i="2" s="1"/>
  <c r="H71" i="2"/>
  <c r="I71" i="2" s="1"/>
  <c r="H24" i="2"/>
  <c r="I24" i="2" s="1"/>
  <c r="H72" i="2"/>
  <c r="I72" i="2" s="1"/>
  <c r="H25" i="2"/>
  <c r="I25" i="2" s="1"/>
  <c r="H73" i="2"/>
  <c r="I73" i="2" s="1"/>
  <c r="H50" i="2"/>
  <c r="I50" i="2" s="1"/>
  <c r="H51" i="2"/>
  <c r="I51" i="2" s="1"/>
  <c r="H15" i="2"/>
  <c r="I15" i="2" s="1"/>
  <c r="J26" i="2" l="1"/>
  <c r="K26" i="2" s="1"/>
  <c r="L26" i="2"/>
  <c r="M26" i="2" s="1"/>
  <c r="J48" i="2"/>
  <c r="K48" i="2" s="1"/>
  <c r="L48" i="2"/>
  <c r="M48" i="2" s="1"/>
  <c r="L77" i="2"/>
  <c r="M77" i="2" s="1"/>
  <c r="J77" i="2"/>
  <c r="K77" i="2" s="1"/>
  <c r="L78" i="2"/>
  <c r="M78" i="2" s="1"/>
  <c r="J78" i="2"/>
  <c r="K78" i="2" s="1"/>
  <c r="J83" i="2"/>
  <c r="K83" i="2" s="1"/>
  <c r="L83" i="2"/>
  <c r="M83" i="2" s="1"/>
  <c r="J24" i="2"/>
  <c r="K24" i="2" s="1"/>
  <c r="L24" i="2"/>
  <c r="M24" i="2" s="1"/>
  <c r="L19" i="2"/>
  <c r="M19" i="2" s="1"/>
  <c r="J19" i="2"/>
  <c r="K19" i="2" s="1"/>
  <c r="L53" i="2"/>
  <c r="M53" i="2" s="1"/>
  <c r="J53" i="2"/>
  <c r="K53" i="2" s="1"/>
  <c r="L42" i="2"/>
  <c r="M42" i="2" s="1"/>
  <c r="J42" i="2"/>
  <c r="K42" i="2" s="1"/>
  <c r="J25" i="2"/>
  <c r="K25" i="2" s="1"/>
  <c r="L25" i="2"/>
  <c r="M25" i="2" s="1"/>
  <c r="L65" i="2"/>
  <c r="M65" i="2" s="1"/>
  <c r="J65" i="2"/>
  <c r="K65" i="2" s="1"/>
  <c r="L34" i="2"/>
  <c r="M34" i="2" s="1"/>
  <c r="J34" i="2"/>
  <c r="K34" i="2" s="1"/>
  <c r="L41" i="2"/>
  <c r="M41" i="2" s="1"/>
  <c r="J41" i="2"/>
  <c r="K41" i="2" s="1"/>
  <c r="L18" i="2"/>
  <c r="M18" i="2" s="1"/>
  <c r="J18" i="2"/>
  <c r="K18" i="2" s="1"/>
  <c r="J92" i="2"/>
  <c r="K92" i="2" s="1"/>
  <c r="L92" i="2"/>
  <c r="M92" i="2" s="1"/>
  <c r="J60" i="2"/>
  <c r="K60" i="2" s="1"/>
  <c r="L60" i="2"/>
  <c r="M60" i="2" s="1"/>
  <c r="L56" i="2"/>
  <c r="M56" i="2" s="1"/>
  <c r="J56" i="2"/>
  <c r="K56" i="2" s="1"/>
  <c r="L81" i="2"/>
  <c r="M81" i="2" s="1"/>
  <c r="J81" i="2"/>
  <c r="K81" i="2" s="1"/>
  <c r="L32" i="2"/>
  <c r="M32" i="2" s="1"/>
  <c r="J32" i="2"/>
  <c r="K32" i="2" s="1"/>
  <c r="L91" i="2"/>
  <c r="M91" i="2" s="1"/>
  <c r="J91" i="2"/>
  <c r="K91" i="2" s="1"/>
  <c r="L29" i="2"/>
  <c r="M29" i="2" s="1"/>
  <c r="J29" i="2"/>
  <c r="K29" i="2" s="1"/>
  <c r="L88" i="2"/>
  <c r="M88" i="2" s="1"/>
  <c r="J88" i="2"/>
  <c r="K88" i="2" s="1"/>
  <c r="L89" i="2"/>
  <c r="M89" i="2" s="1"/>
  <c r="J89" i="2"/>
  <c r="K89" i="2" s="1"/>
  <c r="J70" i="2"/>
  <c r="K70" i="2" s="1"/>
  <c r="L70" i="2"/>
  <c r="M70" i="2" s="1"/>
  <c r="J71" i="2"/>
  <c r="K71" i="2" s="1"/>
  <c r="L71" i="2"/>
  <c r="M71" i="2" s="1"/>
  <c r="J38" i="2"/>
  <c r="K38" i="2" s="1"/>
  <c r="L38" i="2"/>
  <c r="M38" i="2" s="1"/>
  <c r="L20" i="2"/>
  <c r="M20" i="2" s="1"/>
  <c r="J20" i="2"/>
  <c r="K20" i="2" s="1"/>
  <c r="L67" i="2"/>
  <c r="M67" i="2" s="1"/>
  <c r="J67" i="2"/>
  <c r="K67" i="2" s="1"/>
  <c r="L17" i="2"/>
  <c r="M17" i="2" s="1"/>
  <c r="J17" i="2"/>
  <c r="K17" i="2" s="1"/>
  <c r="L76" i="2"/>
  <c r="M76" i="2" s="1"/>
  <c r="J76" i="2"/>
  <c r="K76" i="2" s="1"/>
  <c r="J49" i="2"/>
  <c r="K49" i="2" s="1"/>
  <c r="L49" i="2"/>
  <c r="M49" i="2" s="1"/>
  <c r="J68" i="2"/>
  <c r="K68" i="2" s="1"/>
  <c r="L68" i="2"/>
  <c r="M68" i="2" s="1"/>
  <c r="L63" i="2"/>
  <c r="M63" i="2" s="1"/>
  <c r="J63" i="2"/>
  <c r="K63" i="2" s="1"/>
  <c r="J35" i="2"/>
  <c r="K35" i="2" s="1"/>
  <c r="L35" i="2"/>
  <c r="M35" i="2" s="1"/>
  <c r="J8" i="2"/>
  <c r="K8" i="2" s="1"/>
  <c r="L8" i="2"/>
  <c r="M8" i="2" s="1"/>
  <c r="J82" i="2"/>
  <c r="K82" i="2" s="1"/>
  <c r="L82" i="2"/>
  <c r="M82" i="2" s="1"/>
  <c r="L64" i="2"/>
  <c r="M64" i="2" s="1"/>
  <c r="J64" i="2"/>
  <c r="K64" i="2" s="1"/>
  <c r="J12" i="2"/>
  <c r="K12" i="2" s="1"/>
  <c r="L12" i="2"/>
  <c r="M12" i="2" s="1"/>
  <c r="J72" i="2"/>
  <c r="K72" i="2" s="1"/>
  <c r="L72" i="2"/>
  <c r="M72" i="2" s="1"/>
  <c r="L22" i="2"/>
  <c r="M22" i="2" s="1"/>
  <c r="J22" i="2"/>
  <c r="K22" i="2" s="1"/>
  <c r="J62" i="2"/>
  <c r="K62" i="2" s="1"/>
  <c r="L62" i="2"/>
  <c r="M62" i="2" s="1"/>
  <c r="J85" i="2"/>
  <c r="K85" i="2" s="1"/>
  <c r="L85" i="2"/>
  <c r="M85" i="2" s="1"/>
  <c r="J11" i="2"/>
  <c r="K11" i="2" s="1"/>
  <c r="L11" i="2"/>
  <c r="M11" i="2" s="1"/>
  <c r="J37" i="2"/>
  <c r="K37" i="2" s="1"/>
  <c r="L37" i="2"/>
  <c r="M37" i="2" s="1"/>
  <c r="L45" i="2"/>
  <c r="M45" i="2" s="1"/>
  <c r="J45" i="2"/>
  <c r="K45" i="2" s="1"/>
  <c r="L75" i="2"/>
  <c r="M75" i="2" s="1"/>
  <c r="J75" i="2"/>
  <c r="K75" i="2" s="1"/>
  <c r="L7" i="2"/>
  <c r="M7" i="2" s="1"/>
  <c r="J7" i="2"/>
  <c r="K7" i="2" s="1"/>
  <c r="L46" i="2"/>
  <c r="M46" i="2" s="1"/>
  <c r="J46" i="2"/>
  <c r="K46" i="2" s="1"/>
  <c r="L52" i="2"/>
  <c r="M52" i="2" s="1"/>
  <c r="J52" i="2"/>
  <c r="K52" i="2" s="1"/>
  <c r="J61" i="2"/>
  <c r="K61" i="2" s="1"/>
  <c r="L61" i="2"/>
  <c r="M61" i="2" s="1"/>
  <c r="L66" i="2"/>
  <c r="M66" i="2" s="1"/>
  <c r="J66" i="2"/>
  <c r="K66" i="2" s="1"/>
  <c r="L44" i="2"/>
  <c r="M44" i="2" s="1"/>
  <c r="J44" i="2"/>
  <c r="K44" i="2" s="1"/>
  <c r="L57" i="2"/>
  <c r="M57" i="2" s="1"/>
  <c r="J57" i="2"/>
  <c r="K57" i="2" s="1"/>
  <c r="L27" i="2"/>
  <c r="M27" i="2" s="1"/>
  <c r="J27" i="2"/>
  <c r="K27" i="2" s="1"/>
  <c r="J13" i="2"/>
  <c r="K13" i="2" s="1"/>
  <c r="L13" i="2"/>
  <c r="M13" i="2" s="1"/>
  <c r="L33" i="2"/>
  <c r="M33" i="2" s="1"/>
  <c r="J33" i="2"/>
  <c r="K33" i="2" s="1"/>
  <c r="L39" i="2"/>
  <c r="M39" i="2" s="1"/>
  <c r="J39" i="2"/>
  <c r="K39" i="2" s="1"/>
  <c r="L90" i="2"/>
  <c r="M90" i="2" s="1"/>
  <c r="J90" i="2"/>
  <c r="K90" i="2" s="1"/>
  <c r="L10" i="2"/>
  <c r="M10" i="2" s="1"/>
  <c r="J10" i="2"/>
  <c r="K10" i="2" s="1"/>
  <c r="L40" i="2"/>
  <c r="M40" i="2" s="1"/>
  <c r="J40" i="2"/>
  <c r="K40" i="2" s="1"/>
  <c r="J73" i="2"/>
  <c r="K73" i="2" s="1"/>
  <c r="L73" i="2"/>
  <c r="M73" i="2" s="1"/>
  <c r="L80" i="2"/>
  <c r="M80" i="2" s="1"/>
  <c r="J80" i="2"/>
  <c r="K80" i="2" s="1"/>
  <c r="L58" i="2"/>
  <c r="M58" i="2" s="1"/>
  <c r="J58" i="2"/>
  <c r="K58" i="2" s="1"/>
  <c r="J47" i="2"/>
  <c r="K47" i="2" s="1"/>
  <c r="L47" i="2"/>
  <c r="M47" i="2" s="1"/>
  <c r="J23" i="2"/>
  <c r="K23" i="2" s="1"/>
  <c r="L23" i="2"/>
  <c r="M23" i="2" s="1"/>
  <c r="L15" i="2"/>
  <c r="M15" i="2" s="1"/>
  <c r="J15" i="2"/>
  <c r="K15" i="2" s="1"/>
  <c r="L51" i="2"/>
  <c r="M51" i="2" s="1"/>
  <c r="J51" i="2"/>
  <c r="K51" i="2" s="1"/>
  <c r="L87" i="2"/>
  <c r="M87" i="2" s="1"/>
  <c r="J87" i="2"/>
  <c r="K87" i="2" s="1"/>
  <c r="J84" i="2"/>
  <c r="K84" i="2" s="1"/>
  <c r="L84" i="2"/>
  <c r="M84" i="2" s="1"/>
  <c r="L21" i="2"/>
  <c r="M21" i="2" s="1"/>
  <c r="J21" i="2"/>
  <c r="K21" i="2" s="1"/>
  <c r="J86" i="2"/>
  <c r="K86" i="2" s="1"/>
  <c r="L86" i="2"/>
  <c r="M86" i="2" s="1"/>
  <c r="L54" i="2"/>
  <c r="M54" i="2" s="1"/>
  <c r="J54" i="2"/>
  <c r="K54" i="2" s="1"/>
  <c r="L79" i="2"/>
  <c r="M79" i="2" s="1"/>
  <c r="J79" i="2"/>
  <c r="K79" i="2" s="1"/>
  <c r="L28" i="2"/>
  <c r="M28" i="2" s="1"/>
  <c r="J28" i="2"/>
  <c r="K28" i="2" s="1"/>
  <c r="L31" i="2"/>
  <c r="M31" i="2" s="1"/>
  <c r="J31" i="2"/>
  <c r="K31" i="2" s="1"/>
  <c r="J59" i="2"/>
  <c r="K59" i="2" s="1"/>
  <c r="L59" i="2"/>
  <c r="M59" i="2" s="1"/>
  <c r="J6" i="2"/>
  <c r="K6" i="2" s="1"/>
  <c r="L6" i="2"/>
  <c r="M6" i="2" s="1"/>
  <c r="J69" i="2"/>
  <c r="K69" i="2" s="1"/>
  <c r="L69" i="2"/>
  <c r="M69" i="2" s="1"/>
  <c r="L43" i="2"/>
  <c r="M43" i="2" s="1"/>
  <c r="J43" i="2"/>
  <c r="K43" i="2" s="1"/>
  <c r="J50" i="2"/>
  <c r="K50" i="2" s="1"/>
  <c r="L50" i="2"/>
  <c r="M50" i="2" s="1"/>
  <c r="J74" i="2"/>
  <c r="K74" i="2" s="1"/>
  <c r="L74" i="2"/>
  <c r="M74" i="2" s="1"/>
  <c r="J36" i="2"/>
  <c r="K36" i="2" s="1"/>
  <c r="L36" i="2"/>
  <c r="M36" i="2" s="1"/>
  <c r="J9" i="2"/>
  <c r="K9" i="2" s="1"/>
  <c r="L9" i="2"/>
  <c r="M9" i="2" s="1"/>
  <c r="J14" i="2"/>
  <c r="K14" i="2" s="1"/>
  <c r="L14" i="2"/>
  <c r="M14" i="2" s="1"/>
  <c r="L30" i="2"/>
  <c r="M30" i="2" s="1"/>
  <c r="J30" i="2"/>
  <c r="K30" i="2" s="1"/>
  <c r="L55" i="2"/>
  <c r="M55" i="2" s="1"/>
  <c r="J55" i="2"/>
  <c r="K55" i="2" s="1"/>
  <c r="L16" i="2"/>
  <c r="M16" i="2" s="1"/>
  <c r="J16" i="2"/>
  <c r="K16" i="2" s="1"/>
  <c r="M1" i="2" l="1"/>
  <c r="K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FCBE36-B283-4922-8BDC-188B5D8ED6A0}" keepAlive="1" name="Query - Chapter6" description="Connection to the 'Chapter6' query in the workbook." type="5" refreshedVersion="6" background="1" saveData="1">
    <dbPr connection="Provider=Microsoft.Mashup.OleDb.1;Data Source=$Workbook$;Location=Chapter6;Extended Properties=&quot;&quot;" command="SELECT * FROM [Chapter6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<sst xmlns="http://schemas.openxmlformats.org/spreadsheetml/2006/main" count="31" uniqueCount="22">
  <si>
    <t>patientID</t>
  </si>
  <si>
    <t>5-year survival</t>
  </si>
  <si>
    <t>gene1</t>
  </si>
  <si>
    <t>gene2</t>
  </si>
  <si>
    <t>gene3</t>
  </si>
  <si>
    <t>gene4</t>
  </si>
  <si>
    <t>gene5</t>
  </si>
  <si>
    <t>m1x1+m2x2+...+b</t>
  </si>
  <si>
    <t>P(1)</t>
  </si>
  <si>
    <t>m1</t>
  </si>
  <si>
    <t>m2</t>
  </si>
  <si>
    <t>m3</t>
  </si>
  <si>
    <t>m4</t>
  </si>
  <si>
    <t>m5</t>
  </si>
  <si>
    <t>b</t>
  </si>
  <si>
    <t>Outcome</t>
  </si>
  <si>
    <t>Difference</t>
  </si>
  <si>
    <t xml:space="preserve">total diff= </t>
  </si>
  <si>
    <t>Likelihood</t>
  </si>
  <si>
    <t>To-Maximize</t>
  </si>
  <si>
    <t>Ln(Likelihood)</t>
  </si>
  <si>
    <t>Scoring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</si>
</sst>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134FF-F2E8-4598-99E1-B1FA8EE66866}">
  <dimension ref="A1:M101"/>
  <sheetViews>
    <sheetView tabSelected="1" topLeftCell="A85" workbookViewId="0">
      <selection activeCell="K99" sqref="K99"/>
    </sheetView>
  </sheetViews>
  <sheetFormatPr defaultRowHeight="14.4" x14ac:dyDescent="0.3"/>
  <cols>
    <col min="7" max="7" width="14" bestFit="1" customWidth="1"/>
    <col min="8" max="8" width="21.44140625" customWidth="1"/>
    <col min="11" max="11" width="10.5546875" customWidth="1"/>
    <col min="12" max="12" width="11.88671875" customWidth="1"/>
    <col min="13" max="13" width="14.33203125" customWidth="1"/>
  </cols>
  <sheetData>
    <row r="1" spans="1:13" x14ac:dyDescent="0.3">
      <c r="B1">
        <v>5</v>
      </c>
      <c r="C1">
        <v>4</v>
      </c>
      <c r="D1">
        <v>3</v>
      </c>
      <c r="E1">
        <v>2</v>
      </c>
      <c r="F1">
        <v>1</v>
      </c>
      <c r="G1">
        <v>6</v>
      </c>
      <c r="L1" t="s">
        <v>19</v>
      </c>
      <c r="M1">
        <f>SUM(M6:M92)</f>
        <v>28.721089329099748</v>
      </c>
    </row>
    <row r="2" spans="1:13" x14ac:dyDescent="0.3"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J2" t="s">
        <v>17</v>
      </c>
      <c r="K2">
        <f>SUM(K6:K92)</f>
        <v>12</v>
      </c>
    </row>
    <row r="3" spans="1:13" x14ac:dyDescent="0.3">
      <c r="B3" cm="1">
        <f t="array" ref="B3">INDEX(LINEST($G$6:$G$92,$B$6:$F$92),1,B1)</f>
        <v>-3.1646397523048817E-4</v>
      </c>
      <c r="C3" cm="1">
        <f t="array" ref="C3">INDEX(LINEST($G$6:$G$92,$B$6:$F$92),1,C1)</f>
        <v>3.0100064130601915E-3</v>
      </c>
      <c r="D3" cm="1">
        <f t="array" ref="D3">INDEX(LINEST($G$6:$G$92,$B$6:$F$92),1,D1)</f>
        <v>-5.1330433103881426E-3</v>
      </c>
      <c r="E3" cm="1">
        <f t="array" ref="E3">INDEX(LINEST($G$6:$G$92,$B$6:$F$92),1,E1)</f>
        <v>-5.1011808354464684E-4</v>
      </c>
      <c r="F3" cm="1">
        <f t="array" ref="F3">INDEX(LINEST($G$6:$G$92,$B$6:$F$92),1,F1)</f>
        <v>-7.4155185513976826E-4</v>
      </c>
      <c r="G3" cm="1">
        <f t="array" ref="G3">INDEX(LINEST($G$6:$G$92,$B$6:$F$92),1,G1)</f>
        <v>0.5355740251747082</v>
      </c>
    </row>
    <row r="4" spans="1:13" x14ac:dyDescent="0.3">
      <c r="B4">
        <v>-2.0319931122800335E-2</v>
      </c>
      <c r="C4">
        <v>-7.9392724446615513E-3</v>
      </c>
      <c r="D4">
        <v>-9.7139781068883366E-2</v>
      </c>
      <c r="E4">
        <v>-1.0731702805100512E-2</v>
      </c>
      <c r="F4">
        <v>-3.7996053139464736E-3</v>
      </c>
      <c r="G4">
        <v>4.2230738197141449</v>
      </c>
    </row>
    <row r="5" spans="1:13" x14ac:dyDescent="0.3">
      <c r="A5" s="1" t="s">
        <v>0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1</v>
      </c>
      <c r="H5" t="s">
        <v>7</v>
      </c>
      <c r="I5" s="1" t="s">
        <v>8</v>
      </c>
      <c r="J5" s="1" t="s">
        <v>15</v>
      </c>
      <c r="K5" s="1" t="s">
        <v>16</v>
      </c>
      <c r="L5" s="1" t="s">
        <v>18</v>
      </c>
      <c r="M5" s="1" t="s">
        <v>20</v>
      </c>
    </row>
    <row r="6" spans="1:13" x14ac:dyDescent="0.3">
      <c r="A6">
        <v>1</v>
      </c>
      <c r="B6">
        <v>92.082599999999999</v>
      </c>
      <c r="C6">
        <v>443.37349999999998</v>
      </c>
      <c r="D6">
        <v>350.94664</v>
      </c>
      <c r="E6">
        <v>11.1876</v>
      </c>
      <c r="F6">
        <v>77.926000000000002</v>
      </c>
      <c r="G6">
        <v>0</v>
      </c>
      <c r="H6">
        <f>SUMPRODUCT($B$4:$F$4, B6:F6) + $G$4</f>
        <v>-35.675131099594537</v>
      </c>
      <c r="I6">
        <f>1/(1+EXP(0 - H6))</f>
        <v>3.2098698408890605E-16</v>
      </c>
      <c r="J6">
        <f>IF(I6&gt;0.5, 1, 0)</f>
        <v>0</v>
      </c>
      <c r="K6">
        <f>IF(G6 = J6, 0, 1)</f>
        <v>0</v>
      </c>
      <c r="L6">
        <f>IF(G6=1, I6, 1-I6)</f>
        <v>0.99999999999999967</v>
      </c>
      <c r="M6">
        <f>IF(L6=0, 1000000, -LN(L6))</f>
        <v>3.3306690738754701E-16</v>
      </c>
    </row>
    <row r="7" spans="1:13" x14ac:dyDescent="0.3">
      <c r="A7">
        <v>2</v>
      </c>
      <c r="B7">
        <v>97.122799999999998</v>
      </c>
      <c r="C7">
        <v>29.215617999999999</v>
      </c>
      <c r="D7">
        <v>2.5790069999999998</v>
      </c>
      <c r="E7">
        <v>301.86840000000001</v>
      </c>
      <c r="F7">
        <v>171.99680000000001</v>
      </c>
      <c r="G7">
        <v>0</v>
      </c>
      <c r="H7">
        <f t="shared" ref="H7:H70" si="0">SUMPRODUCT($B$4:$F$4, B7:F7) + $G$4</f>
        <v>-2.126011623348635</v>
      </c>
      <c r="I7">
        <f t="shared" ref="I7:I70" si="1">1/(1+EXP(0 - H7))</f>
        <v>0.10659421679464254</v>
      </c>
      <c r="J7">
        <f t="shared" ref="J7:J70" si="2">IF(I7&gt;0.5, 1, 0)</f>
        <v>0</v>
      </c>
      <c r="K7">
        <f>IF(G7 = J7, 0, 1)</f>
        <v>0</v>
      </c>
      <c r="L7">
        <f t="shared" ref="L7:L70" si="3">IF(G7=1, I7, 1-I7)</f>
        <v>0.89340578320535746</v>
      </c>
      <c r="M7">
        <f t="shared" ref="M7:M70" si="4">IF(L7=0, 1000000, -LN(L7))</f>
        <v>0.1127143968308084</v>
      </c>
    </row>
    <row r="8" spans="1:13" x14ac:dyDescent="0.3">
      <c r="A8">
        <v>3</v>
      </c>
      <c r="B8">
        <v>7.7399500000000003</v>
      </c>
      <c r="C8">
        <v>42.368420999999998</v>
      </c>
      <c r="D8">
        <v>39.907121000000004</v>
      </c>
      <c r="E8">
        <v>9.2879000000000005</v>
      </c>
      <c r="F8">
        <v>104.2632</v>
      </c>
      <c r="G8">
        <v>1</v>
      </c>
      <c r="H8">
        <f t="shared" si="0"/>
        <v>-0.64297885683088829</v>
      </c>
      <c r="I8">
        <f t="shared" si="1"/>
        <v>0.34457347550901107</v>
      </c>
      <c r="J8">
        <f t="shared" si="2"/>
        <v>0</v>
      </c>
      <c r="K8">
        <f t="shared" ref="K8:K71" si="5">IF(G8 = J8, 0, 1)</f>
        <v>1</v>
      </c>
      <c r="L8">
        <f t="shared" si="3"/>
        <v>0.34457347550901107</v>
      </c>
      <c r="M8">
        <f t="shared" si="4"/>
        <v>1.0654479296760633</v>
      </c>
    </row>
    <row r="9" spans="1:13" x14ac:dyDescent="0.3">
      <c r="A9">
        <v>4</v>
      </c>
      <c r="B9">
        <v>60.212499999999999</v>
      </c>
      <c r="C9">
        <v>25.631640999999998</v>
      </c>
      <c r="D9">
        <v>2.4203069999999998</v>
      </c>
      <c r="E9">
        <v>14.1677</v>
      </c>
      <c r="F9">
        <v>94.631600000000006</v>
      </c>
      <c r="G9">
        <v>1</v>
      </c>
      <c r="H9">
        <f t="shared" si="0"/>
        <v>2.049349017721207</v>
      </c>
      <c r="I9">
        <f t="shared" si="1"/>
        <v>0.88588182405499916</v>
      </c>
      <c r="J9">
        <f t="shared" si="2"/>
        <v>1</v>
      </c>
      <c r="K9">
        <f t="shared" si="5"/>
        <v>0</v>
      </c>
      <c r="L9">
        <f t="shared" si="3"/>
        <v>0.88588182405499916</v>
      </c>
      <c r="M9">
        <f t="shared" si="4"/>
        <v>0.12117171870091599</v>
      </c>
    </row>
    <row r="10" spans="1:13" x14ac:dyDescent="0.3">
      <c r="A10">
        <v>5</v>
      </c>
      <c r="B10">
        <v>385.47660000000002</v>
      </c>
      <c r="C10">
        <v>20.329639</v>
      </c>
      <c r="D10">
        <v>5.8317510000000006</v>
      </c>
      <c r="E10">
        <v>35.4298</v>
      </c>
      <c r="F10">
        <v>71.058799999999991</v>
      </c>
      <c r="G10">
        <v>0</v>
      </c>
      <c r="H10">
        <f t="shared" si="0"/>
        <v>-4.9878991779747786</v>
      </c>
      <c r="I10">
        <f t="shared" si="1"/>
        <v>6.7737799870669149E-3</v>
      </c>
      <c r="J10">
        <f t="shared" si="2"/>
        <v>0</v>
      </c>
      <c r="K10">
        <f t="shared" si="5"/>
        <v>0</v>
      </c>
      <c r="L10">
        <f t="shared" si="3"/>
        <v>0.99322622001293304</v>
      </c>
      <c r="M10">
        <f t="shared" si="4"/>
        <v>6.7968261668517249E-3</v>
      </c>
    </row>
    <row r="11" spans="1:13" x14ac:dyDescent="0.3">
      <c r="A11">
        <v>6</v>
      </c>
      <c r="B11">
        <v>476.64400000000001</v>
      </c>
      <c r="C11">
        <v>12.487453</v>
      </c>
      <c r="D11">
        <v>4.4061250000000003</v>
      </c>
      <c r="E11">
        <v>50.444000000000003</v>
      </c>
      <c r="F11">
        <v>104.7838</v>
      </c>
      <c r="G11">
        <v>0</v>
      </c>
      <c r="H11">
        <f t="shared" si="0"/>
        <v>-6.9289378393469327</v>
      </c>
      <c r="I11">
        <f t="shared" si="1"/>
        <v>9.7808263208519074E-4</v>
      </c>
      <c r="J11">
        <f t="shared" si="2"/>
        <v>0</v>
      </c>
      <c r="K11">
        <f t="shared" si="5"/>
        <v>0</v>
      </c>
      <c r="L11">
        <f t="shared" si="3"/>
        <v>0.99902191736791479</v>
      </c>
      <c r="M11">
        <f t="shared" si="4"/>
        <v>9.7856126702460097E-4</v>
      </c>
    </row>
    <row r="12" spans="1:13" x14ac:dyDescent="0.3">
      <c r="A12">
        <v>7</v>
      </c>
      <c r="B12">
        <v>25.89</v>
      </c>
      <c r="C12">
        <v>18.495145999999998</v>
      </c>
      <c r="D12">
        <v>28.721682999999999</v>
      </c>
      <c r="E12">
        <v>6.4724000000000004</v>
      </c>
      <c r="F12">
        <v>78.398099999999999</v>
      </c>
      <c r="G12">
        <v>0</v>
      </c>
      <c r="H12">
        <f t="shared" si="0"/>
        <v>0.3927930907981434</v>
      </c>
      <c r="I12">
        <f t="shared" si="1"/>
        <v>0.59695489783529965</v>
      </c>
      <c r="J12">
        <f t="shared" si="2"/>
        <v>1</v>
      </c>
      <c r="K12">
        <f t="shared" si="5"/>
        <v>1</v>
      </c>
      <c r="L12">
        <f t="shared" si="3"/>
        <v>0.40304510216470035</v>
      </c>
      <c r="M12">
        <f t="shared" si="4"/>
        <v>0.90870680725614694</v>
      </c>
    </row>
    <row r="13" spans="1:13" x14ac:dyDescent="0.3">
      <c r="A13">
        <v>8</v>
      </c>
      <c r="B13">
        <v>142.85714999999999</v>
      </c>
      <c r="C13">
        <v>15.411994</v>
      </c>
      <c r="D13">
        <v>1.019015</v>
      </c>
      <c r="E13">
        <v>24.378399999999999</v>
      </c>
      <c r="F13">
        <v>146.7328</v>
      </c>
      <c r="G13">
        <v>1</v>
      </c>
      <c r="H13">
        <f t="shared" si="0"/>
        <v>0.27973098775308447</v>
      </c>
      <c r="I13">
        <f t="shared" si="1"/>
        <v>0.56948027076941254</v>
      </c>
      <c r="J13">
        <f t="shared" si="2"/>
        <v>1</v>
      </c>
      <c r="K13">
        <f t="shared" si="5"/>
        <v>0</v>
      </c>
      <c r="L13">
        <f t="shared" si="3"/>
        <v>0.56948027076941254</v>
      </c>
      <c r="M13">
        <f t="shared" si="4"/>
        <v>0.56303113976888786</v>
      </c>
    </row>
    <row r="14" spans="1:13" x14ac:dyDescent="0.3">
      <c r="A14">
        <v>9</v>
      </c>
      <c r="B14">
        <v>188.6454</v>
      </c>
      <c r="C14">
        <v>26.958862</v>
      </c>
      <c r="D14">
        <v>12.508009999999999</v>
      </c>
      <c r="E14">
        <v>82.019800000000004</v>
      </c>
      <c r="F14">
        <v>137.77710000000002</v>
      </c>
      <c r="G14">
        <v>0</v>
      </c>
      <c r="H14">
        <f t="shared" si="0"/>
        <v>-2.4429575371763281</v>
      </c>
      <c r="I14">
        <f t="shared" si="1"/>
        <v>7.9955078586724584E-2</v>
      </c>
      <c r="J14">
        <f t="shared" si="2"/>
        <v>0</v>
      </c>
      <c r="K14">
        <f t="shared" si="5"/>
        <v>0</v>
      </c>
      <c r="L14">
        <f t="shared" si="3"/>
        <v>0.92004492141327543</v>
      </c>
      <c r="M14">
        <f t="shared" si="4"/>
        <v>8.3332782507955186E-2</v>
      </c>
    </row>
    <row r="15" spans="1:13" x14ac:dyDescent="0.3">
      <c r="A15">
        <v>10</v>
      </c>
      <c r="B15">
        <v>1383.3642</v>
      </c>
      <c r="C15">
        <v>14.225508</v>
      </c>
      <c r="D15">
        <v>1.49353</v>
      </c>
      <c r="E15">
        <v>312.01479999999998</v>
      </c>
      <c r="F15">
        <v>787.2921</v>
      </c>
      <c r="G15">
        <v>0</v>
      </c>
      <c r="H15">
        <f t="shared" si="0"/>
        <v>-30.484662154110119</v>
      </c>
      <c r="I15">
        <f t="shared" si="1"/>
        <v>5.763409045469098E-14</v>
      </c>
      <c r="J15">
        <f t="shared" si="2"/>
        <v>0</v>
      </c>
      <c r="K15">
        <f t="shared" si="5"/>
        <v>0</v>
      </c>
      <c r="L15">
        <f t="shared" si="3"/>
        <v>0.99999999999994238</v>
      </c>
      <c r="M15">
        <f t="shared" si="4"/>
        <v>5.7620574978047291E-14</v>
      </c>
    </row>
    <row r="16" spans="1:13" x14ac:dyDescent="0.3">
      <c r="A16">
        <v>11</v>
      </c>
      <c r="B16">
        <v>365.39699999999999</v>
      </c>
      <c r="C16">
        <v>3.2798439999999998</v>
      </c>
      <c r="D16">
        <v>0.35542000000000001</v>
      </c>
      <c r="E16">
        <v>74.825400000000002</v>
      </c>
      <c r="F16">
        <v>132.8732</v>
      </c>
      <c r="G16">
        <v>0</v>
      </c>
      <c r="H16">
        <f t="shared" si="0"/>
        <v>-4.5702027207170595</v>
      </c>
      <c r="I16">
        <f t="shared" si="1"/>
        <v>1.0249715536660925E-2</v>
      </c>
      <c r="J16">
        <f t="shared" si="2"/>
        <v>0</v>
      </c>
      <c r="K16">
        <f t="shared" si="5"/>
        <v>0</v>
      </c>
      <c r="L16">
        <f t="shared" si="3"/>
        <v>0.98975028446333913</v>
      </c>
      <c r="M16">
        <f t="shared" si="4"/>
        <v>1.0302605586654067E-2</v>
      </c>
    </row>
    <row r="17" spans="1:13" x14ac:dyDescent="0.3">
      <c r="A17">
        <v>12</v>
      </c>
      <c r="B17">
        <v>26.89425</v>
      </c>
      <c r="C17">
        <v>40.682699999999997</v>
      </c>
      <c r="D17">
        <v>18.960433999999999</v>
      </c>
      <c r="E17">
        <v>20.687899999999999</v>
      </c>
      <c r="F17">
        <v>204.8443</v>
      </c>
      <c r="G17">
        <v>1</v>
      </c>
      <c r="H17">
        <f t="shared" si="0"/>
        <v>0.51143718002604244</v>
      </c>
      <c r="I17">
        <f t="shared" si="1"/>
        <v>0.62514332253775828</v>
      </c>
      <c r="J17">
        <f t="shared" si="2"/>
        <v>1</v>
      </c>
      <c r="K17">
        <f t="shared" si="5"/>
        <v>0</v>
      </c>
      <c r="L17">
        <f t="shared" si="3"/>
        <v>0.62514332253775828</v>
      </c>
      <c r="M17">
        <f t="shared" si="4"/>
        <v>0.4697743394742312</v>
      </c>
    </row>
    <row r="18" spans="1:13" x14ac:dyDescent="0.3">
      <c r="A18">
        <v>13</v>
      </c>
      <c r="B18">
        <v>10.106999999999999</v>
      </c>
      <c r="C18">
        <v>12.223542999999999</v>
      </c>
      <c r="D18">
        <v>22.972651999999997</v>
      </c>
      <c r="E18">
        <v>9.5124999999999993</v>
      </c>
      <c r="F18">
        <v>42.995199999999997</v>
      </c>
      <c r="G18">
        <v>1</v>
      </c>
      <c r="H18">
        <f t="shared" si="0"/>
        <v>1.4236457385606105</v>
      </c>
      <c r="I18">
        <f t="shared" si="1"/>
        <v>0.80590931704719782</v>
      </c>
      <c r="J18">
        <f t="shared" si="2"/>
        <v>1</v>
      </c>
      <c r="K18">
        <f t="shared" si="5"/>
        <v>0</v>
      </c>
      <c r="L18">
        <f t="shared" si="3"/>
        <v>0.80590931704719782</v>
      </c>
      <c r="M18">
        <f t="shared" si="4"/>
        <v>0.21578405267221884</v>
      </c>
    </row>
    <row r="19" spans="1:13" x14ac:dyDescent="0.3">
      <c r="A19">
        <v>14</v>
      </c>
      <c r="B19">
        <v>196.50980000000001</v>
      </c>
      <c r="C19">
        <v>18.721547999999999</v>
      </c>
      <c r="D19">
        <v>5.2238239999999996</v>
      </c>
      <c r="E19">
        <v>80.424800000000005</v>
      </c>
      <c r="F19">
        <v>292.07130000000001</v>
      </c>
      <c r="G19">
        <v>0</v>
      </c>
      <c r="H19">
        <f t="shared" si="0"/>
        <v>-2.3989190863922145</v>
      </c>
      <c r="I19">
        <f t="shared" si="1"/>
        <v>8.3255158705734786E-2</v>
      </c>
      <c r="J19">
        <f t="shared" si="2"/>
        <v>0</v>
      </c>
      <c r="K19">
        <f t="shared" si="5"/>
        <v>0</v>
      </c>
      <c r="L19">
        <f t="shared" si="3"/>
        <v>0.91674484129426526</v>
      </c>
      <c r="M19">
        <f t="shared" si="4"/>
        <v>8.6926099213956914E-2</v>
      </c>
    </row>
    <row r="20" spans="1:13" x14ac:dyDescent="0.3">
      <c r="A20">
        <v>15</v>
      </c>
      <c r="B20">
        <v>1955.5984000000001</v>
      </c>
      <c r="C20">
        <v>10.482625000000001</v>
      </c>
      <c r="D20">
        <v>2.3069500000000001</v>
      </c>
      <c r="E20">
        <v>44.401600000000002</v>
      </c>
      <c r="F20">
        <v>83.880300000000005</v>
      </c>
      <c r="G20">
        <v>0</v>
      </c>
      <c r="H20">
        <f t="shared" si="0"/>
        <v>-36.617088814777858</v>
      </c>
      <c r="I20">
        <f t="shared" si="1"/>
        <v>1.2514121993883587E-16</v>
      </c>
      <c r="J20">
        <f t="shared" si="2"/>
        <v>0</v>
      </c>
      <c r="K20">
        <f t="shared" si="5"/>
        <v>0</v>
      </c>
      <c r="L20">
        <f t="shared" si="3"/>
        <v>0.99999999999999989</v>
      </c>
      <c r="M20">
        <f t="shared" si="4"/>
        <v>1.1102230246251565E-16</v>
      </c>
    </row>
    <row r="21" spans="1:13" x14ac:dyDescent="0.3">
      <c r="A21">
        <v>16</v>
      </c>
      <c r="B21">
        <v>740.09900000000005</v>
      </c>
      <c r="C21">
        <v>10.532177999999998</v>
      </c>
      <c r="D21">
        <v>6.4108910000000003</v>
      </c>
      <c r="E21">
        <v>168.3168</v>
      </c>
      <c r="F21">
        <v>143.81189999999998</v>
      </c>
      <c r="G21">
        <v>0</v>
      </c>
      <c r="H21">
        <f t="shared" si="0"/>
        <v>-13.874811597267687</v>
      </c>
      <c r="I21">
        <f t="shared" si="1"/>
        <v>9.4242213191963351E-7</v>
      </c>
      <c r="J21">
        <f t="shared" si="2"/>
        <v>0</v>
      </c>
      <c r="K21">
        <f t="shared" si="5"/>
        <v>0</v>
      </c>
      <c r="L21">
        <f t="shared" si="3"/>
        <v>0.99999905757786811</v>
      </c>
      <c r="M21">
        <f t="shared" si="4"/>
        <v>9.4242257596879236E-7</v>
      </c>
    </row>
    <row r="22" spans="1:13" x14ac:dyDescent="0.3">
      <c r="A22">
        <v>17</v>
      </c>
      <c r="B22">
        <v>327.31139999999999</v>
      </c>
      <c r="C22">
        <v>13.294367999999999</v>
      </c>
      <c r="D22">
        <v>12.592986000000002</v>
      </c>
      <c r="E22">
        <v>95.643000000000001</v>
      </c>
      <c r="F22">
        <v>327.86930000000001</v>
      </c>
      <c r="G22">
        <v>0</v>
      </c>
      <c r="H22">
        <f t="shared" si="0"/>
        <v>-6.0288849825164466</v>
      </c>
      <c r="I22">
        <f t="shared" si="1"/>
        <v>2.4023922550334745E-3</v>
      </c>
      <c r="J22">
        <f t="shared" si="2"/>
        <v>0</v>
      </c>
      <c r="K22">
        <f t="shared" si="5"/>
        <v>0</v>
      </c>
      <c r="L22">
        <f t="shared" si="3"/>
        <v>0.99759760774496653</v>
      </c>
      <c r="M22">
        <f t="shared" si="4"/>
        <v>2.4052826294436776E-3</v>
      </c>
    </row>
    <row r="23" spans="1:13" x14ac:dyDescent="0.3">
      <c r="A23">
        <v>18</v>
      </c>
      <c r="B23">
        <v>490.31259999999997</v>
      </c>
      <c r="C23">
        <v>14.897055</v>
      </c>
      <c r="D23">
        <v>8.7857430000000001</v>
      </c>
      <c r="E23">
        <v>44.573799999999999</v>
      </c>
      <c r="F23">
        <v>264.29129999999998</v>
      </c>
      <c r="G23">
        <v>0</v>
      </c>
      <c r="H23">
        <f t="shared" si="0"/>
        <v>-8.1943167731463991</v>
      </c>
      <c r="I23">
        <f t="shared" si="1"/>
        <v>2.7614265662837336E-4</v>
      </c>
      <c r="J23">
        <f t="shared" si="2"/>
        <v>0</v>
      </c>
      <c r="K23">
        <f t="shared" si="5"/>
        <v>0</v>
      </c>
      <c r="L23">
        <f t="shared" si="3"/>
        <v>0.99972385734337166</v>
      </c>
      <c r="M23">
        <f t="shared" si="4"/>
        <v>2.7618079103226557E-4</v>
      </c>
    </row>
    <row r="24" spans="1:13" x14ac:dyDescent="0.3">
      <c r="A24">
        <v>19</v>
      </c>
      <c r="B24">
        <v>67.775549999999996</v>
      </c>
      <c r="C24">
        <v>23.059925</v>
      </c>
      <c r="D24">
        <v>1.0064870000000001</v>
      </c>
      <c r="E24">
        <v>61.687899999999999</v>
      </c>
      <c r="F24">
        <v>101.27209999999999</v>
      </c>
      <c r="G24">
        <v>1</v>
      </c>
      <c r="H24">
        <f t="shared" si="0"/>
        <v>1.5182201391618171</v>
      </c>
      <c r="I24">
        <f t="shared" si="1"/>
        <v>0.82027623749408052</v>
      </c>
      <c r="J24">
        <f t="shared" si="2"/>
        <v>1</v>
      </c>
      <c r="K24">
        <f t="shared" si="5"/>
        <v>0</v>
      </c>
      <c r="L24">
        <f t="shared" si="3"/>
        <v>0.82027623749408052</v>
      </c>
      <c r="M24">
        <f t="shared" si="4"/>
        <v>0.19811412046069735</v>
      </c>
    </row>
    <row r="25" spans="1:13" x14ac:dyDescent="0.3">
      <c r="A25">
        <v>20</v>
      </c>
      <c r="B25">
        <v>331.79719999999998</v>
      </c>
      <c r="C25">
        <v>13.179724</v>
      </c>
      <c r="D25">
        <v>6.9585249999999998</v>
      </c>
      <c r="E25">
        <v>36.866399999999999</v>
      </c>
      <c r="F25">
        <v>195.5069</v>
      </c>
      <c r="G25">
        <v>0</v>
      </c>
      <c r="H25">
        <f t="shared" si="0"/>
        <v>-4.4380977501148191</v>
      </c>
      <c r="I25">
        <f t="shared" si="1"/>
        <v>1.1680355598708206E-2</v>
      </c>
      <c r="J25">
        <f t="shared" si="2"/>
        <v>0</v>
      </c>
      <c r="K25">
        <f t="shared" si="5"/>
        <v>0</v>
      </c>
      <c r="L25">
        <f t="shared" si="3"/>
        <v>0.98831964440129183</v>
      </c>
      <c r="M25">
        <f t="shared" si="4"/>
        <v>1.1749106835798794E-2</v>
      </c>
    </row>
    <row r="26" spans="1:13" x14ac:dyDescent="0.3">
      <c r="A26">
        <v>21</v>
      </c>
      <c r="B26">
        <v>134.7414</v>
      </c>
      <c r="C26">
        <v>14.555197</v>
      </c>
      <c r="D26">
        <v>10.089931999999999</v>
      </c>
      <c r="E26">
        <v>219.34639999999999</v>
      </c>
      <c r="F26">
        <v>148.774</v>
      </c>
      <c r="G26">
        <v>0</v>
      </c>
      <c r="H26">
        <f t="shared" si="0"/>
        <v>-2.5297964647699569</v>
      </c>
      <c r="I26">
        <f t="shared" si="1"/>
        <v>7.3795556982445415E-2</v>
      </c>
      <c r="J26">
        <f t="shared" si="2"/>
        <v>0</v>
      </c>
      <c r="K26">
        <f t="shared" si="5"/>
        <v>0</v>
      </c>
      <c r="L26">
        <f t="shared" si="3"/>
        <v>0.92620444301755456</v>
      </c>
      <c r="M26">
        <f t="shared" si="4"/>
        <v>7.6660287907955857E-2</v>
      </c>
    </row>
    <row r="27" spans="1:13" x14ac:dyDescent="0.3">
      <c r="A27">
        <v>22</v>
      </c>
      <c r="B27">
        <v>320.17540000000002</v>
      </c>
      <c r="C27">
        <v>1.677632</v>
      </c>
      <c r="D27">
        <v>3.936404</v>
      </c>
      <c r="E27">
        <v>92.105199999999996</v>
      </c>
      <c r="F27">
        <v>133.55259999999998</v>
      </c>
      <c r="G27">
        <v>0</v>
      </c>
      <c r="H27">
        <f t="shared" si="0"/>
        <v>-4.174461657625173</v>
      </c>
      <c r="I27">
        <f t="shared" si="1"/>
        <v>1.515040518181044E-2</v>
      </c>
      <c r="J27">
        <f t="shared" si="2"/>
        <v>0</v>
      </c>
      <c r="K27">
        <f t="shared" si="5"/>
        <v>0</v>
      </c>
      <c r="L27">
        <f t="shared" si="3"/>
        <v>0.98484959481818957</v>
      </c>
      <c r="M27">
        <f t="shared" si="4"/>
        <v>1.5266345085261836E-2</v>
      </c>
    </row>
    <row r="28" spans="1:13" x14ac:dyDescent="0.3">
      <c r="A28">
        <v>23</v>
      </c>
      <c r="B28">
        <v>86.603800000000007</v>
      </c>
      <c r="C28">
        <v>19.735692</v>
      </c>
      <c r="D28">
        <v>12.357707</v>
      </c>
      <c r="E28">
        <v>16.654599999999999</v>
      </c>
      <c r="F28">
        <v>94.949299999999994</v>
      </c>
      <c r="G28">
        <v>0</v>
      </c>
      <c r="H28">
        <f t="shared" si="0"/>
        <v>0.56667649820270949</v>
      </c>
      <c r="I28">
        <f t="shared" si="1"/>
        <v>0.63799594132731574</v>
      </c>
      <c r="J28">
        <f t="shared" si="2"/>
        <v>1</v>
      </c>
      <c r="K28">
        <f t="shared" si="5"/>
        <v>1</v>
      </c>
      <c r="L28">
        <f t="shared" si="3"/>
        <v>0.36200405867268426</v>
      </c>
      <c r="M28">
        <f t="shared" si="4"/>
        <v>1.0160998554162226</v>
      </c>
    </row>
    <row r="29" spans="1:13" x14ac:dyDescent="0.3">
      <c r="A29">
        <v>24</v>
      </c>
      <c r="B29">
        <v>223.03639999999999</v>
      </c>
      <c r="C29">
        <v>6.8653369999999994</v>
      </c>
      <c r="D29">
        <v>11.744256999999999</v>
      </c>
      <c r="E29">
        <v>20.909600000000001</v>
      </c>
      <c r="F29">
        <v>485.88369999999998</v>
      </c>
      <c r="G29">
        <v>0</v>
      </c>
      <c r="H29">
        <f t="shared" si="0"/>
        <v>-3.5749127022808196</v>
      </c>
      <c r="I29">
        <f t="shared" si="1"/>
        <v>2.7254265065576471E-2</v>
      </c>
      <c r="J29">
        <f t="shared" si="2"/>
        <v>0</v>
      </c>
      <c r="K29">
        <f t="shared" si="5"/>
        <v>0</v>
      </c>
      <c r="L29">
        <f t="shared" si="3"/>
        <v>0.97274573493442351</v>
      </c>
      <c r="M29">
        <f t="shared" si="4"/>
        <v>2.7632551671497949E-2</v>
      </c>
    </row>
    <row r="30" spans="1:13" x14ac:dyDescent="0.3">
      <c r="A30">
        <v>25</v>
      </c>
      <c r="B30">
        <v>380.80500000000001</v>
      </c>
      <c r="C30">
        <v>14.504644000000001</v>
      </c>
      <c r="D30">
        <v>8.8080499999999997</v>
      </c>
      <c r="E30">
        <v>49.535600000000002</v>
      </c>
      <c r="F30">
        <v>209.2105</v>
      </c>
      <c r="G30">
        <v>0</v>
      </c>
      <c r="H30">
        <f t="shared" si="0"/>
        <v>-5.8121445855821765</v>
      </c>
      <c r="I30">
        <f t="shared" si="1"/>
        <v>2.9820892600794353E-3</v>
      </c>
      <c r="J30">
        <f t="shared" si="2"/>
        <v>0</v>
      </c>
      <c r="K30">
        <f t="shared" si="5"/>
        <v>0</v>
      </c>
      <c r="L30">
        <f t="shared" si="3"/>
        <v>0.99701791073992052</v>
      </c>
      <c r="M30">
        <f t="shared" si="4"/>
        <v>2.9865445478388366E-3</v>
      </c>
    </row>
    <row r="31" spans="1:13" x14ac:dyDescent="0.3">
      <c r="A31">
        <v>26</v>
      </c>
      <c r="B31">
        <v>192.72819999999999</v>
      </c>
      <c r="C31">
        <v>10.003011000000001</v>
      </c>
      <c r="D31">
        <v>15.344934</v>
      </c>
      <c r="E31">
        <v>23.043600000000001</v>
      </c>
      <c r="F31">
        <v>144.40770000000001</v>
      </c>
      <c r="G31">
        <v>0</v>
      </c>
      <c r="H31">
        <f t="shared" si="0"/>
        <v>-2.0591594196339553</v>
      </c>
      <c r="I31">
        <f t="shared" si="1"/>
        <v>0.11313013951648719</v>
      </c>
      <c r="J31">
        <f t="shared" si="2"/>
        <v>0</v>
      </c>
      <c r="K31">
        <f t="shared" si="5"/>
        <v>0</v>
      </c>
      <c r="L31">
        <f t="shared" si="3"/>
        <v>0.8868698604835128</v>
      </c>
      <c r="M31">
        <f t="shared" si="4"/>
        <v>0.1200570261701603</v>
      </c>
    </row>
    <row r="32" spans="1:13" x14ac:dyDescent="0.3">
      <c r="A32">
        <v>27</v>
      </c>
      <c r="B32">
        <v>585.82399999999996</v>
      </c>
      <c r="C32">
        <v>23.825790000000001</v>
      </c>
      <c r="D32">
        <v>5.473954</v>
      </c>
      <c r="E32">
        <v>751.49440000000004</v>
      </c>
      <c r="F32">
        <v>188.9624</v>
      </c>
      <c r="G32">
        <v>0</v>
      </c>
      <c r="H32">
        <f t="shared" si="0"/>
        <v>-17.184524741203074</v>
      </c>
      <c r="I32">
        <f t="shared" si="1"/>
        <v>3.4423554755410089E-8</v>
      </c>
      <c r="J32">
        <f t="shared" si="2"/>
        <v>0</v>
      </c>
      <c r="K32">
        <f t="shared" si="5"/>
        <v>0</v>
      </c>
      <c r="L32">
        <f t="shared" si="3"/>
        <v>0.99999996557644522</v>
      </c>
      <c r="M32">
        <f t="shared" si="4"/>
        <v>3.4423555376936826E-8</v>
      </c>
    </row>
    <row r="33" spans="1:13" x14ac:dyDescent="0.3">
      <c r="A33">
        <v>28</v>
      </c>
      <c r="B33">
        <v>22.633749999999999</v>
      </c>
      <c r="C33">
        <v>16.985596999999999</v>
      </c>
      <c r="D33">
        <v>21.934155999999998</v>
      </c>
      <c r="E33">
        <v>34.979399999999998</v>
      </c>
      <c r="F33">
        <v>154.34979999999999</v>
      </c>
      <c r="G33">
        <v>1</v>
      </c>
      <c r="H33">
        <f t="shared" si="0"/>
        <v>0.53576833928719436</v>
      </c>
      <c r="I33">
        <f t="shared" si="1"/>
        <v>0.63082747768851788</v>
      </c>
      <c r="J33">
        <f t="shared" si="2"/>
        <v>1</v>
      </c>
      <c r="K33">
        <f t="shared" si="5"/>
        <v>0</v>
      </c>
      <c r="L33">
        <f t="shared" si="3"/>
        <v>0.63082747768851788</v>
      </c>
      <c r="M33">
        <f t="shared" si="4"/>
        <v>0.46072286477773328</v>
      </c>
    </row>
    <row r="34" spans="1:13" x14ac:dyDescent="0.3">
      <c r="A34">
        <v>29</v>
      </c>
      <c r="B34">
        <v>281.97320000000002</v>
      </c>
      <c r="C34">
        <v>7.5761270000000005</v>
      </c>
      <c r="D34">
        <v>4.4457979999999999</v>
      </c>
      <c r="E34">
        <v>9.7441999999999993</v>
      </c>
      <c r="F34">
        <v>62.337400000000002</v>
      </c>
      <c r="G34">
        <v>1</v>
      </c>
      <c r="H34">
        <f t="shared" si="0"/>
        <v>-2.3400443382573624</v>
      </c>
      <c r="I34">
        <f t="shared" si="1"/>
        <v>8.7860361455706415E-2</v>
      </c>
      <c r="J34">
        <f t="shared" si="2"/>
        <v>0</v>
      </c>
      <c r="K34">
        <f t="shared" si="5"/>
        <v>1</v>
      </c>
      <c r="L34">
        <f t="shared" si="3"/>
        <v>8.7860361455706415E-2</v>
      </c>
      <c r="M34">
        <f t="shared" si="4"/>
        <v>2.432006526446763</v>
      </c>
    </row>
    <row r="35" spans="1:13" x14ac:dyDescent="0.3">
      <c r="A35">
        <v>30</v>
      </c>
      <c r="B35">
        <v>320.488</v>
      </c>
      <c r="C35">
        <v>11.435773999999999</v>
      </c>
      <c r="D35">
        <v>3.7536059999999996</v>
      </c>
      <c r="E35">
        <v>23.857600000000001</v>
      </c>
      <c r="F35">
        <v>63.967500000000001</v>
      </c>
      <c r="G35">
        <v>0</v>
      </c>
      <c r="H35">
        <f t="shared" si="0"/>
        <v>-3.2437203821931497</v>
      </c>
      <c r="I35">
        <f t="shared" si="1"/>
        <v>3.7553193329012385E-2</v>
      </c>
      <c r="J35">
        <f t="shared" si="2"/>
        <v>0</v>
      </c>
      <c r="K35">
        <f t="shared" si="5"/>
        <v>0</v>
      </c>
      <c r="L35">
        <f t="shared" si="3"/>
        <v>0.96244680667098759</v>
      </c>
      <c r="M35">
        <f t="shared" si="4"/>
        <v>3.8276480143784687E-2</v>
      </c>
    </row>
    <row r="36" spans="1:13" x14ac:dyDescent="0.3">
      <c r="A36">
        <v>31</v>
      </c>
      <c r="B36">
        <v>775.38440000000003</v>
      </c>
      <c r="C36">
        <v>4.2702330000000002</v>
      </c>
      <c r="D36">
        <v>3.2026749999999997</v>
      </c>
      <c r="E36">
        <v>0</v>
      </c>
      <c r="F36">
        <v>137.37450000000001</v>
      </c>
      <c r="G36">
        <v>0</v>
      </c>
      <c r="H36">
        <f t="shared" si="0"/>
        <v>-12.399662353704429</v>
      </c>
      <c r="I36">
        <f t="shared" si="1"/>
        <v>4.1199625943904E-6</v>
      </c>
      <c r="J36">
        <f t="shared" si="2"/>
        <v>0</v>
      </c>
      <c r="K36">
        <f t="shared" si="5"/>
        <v>0</v>
      </c>
      <c r="L36">
        <f t="shared" si="3"/>
        <v>0.99999588003740558</v>
      </c>
      <c r="M36">
        <f t="shared" si="4"/>
        <v>4.1199710814869152E-6</v>
      </c>
    </row>
    <row r="37" spans="1:13" x14ac:dyDescent="0.3">
      <c r="A37">
        <v>32</v>
      </c>
      <c r="B37">
        <v>220.5718</v>
      </c>
      <c r="C37">
        <v>14.028964</v>
      </c>
      <c r="D37">
        <v>19.257334</v>
      </c>
      <c r="E37">
        <v>151.50380000000001</v>
      </c>
      <c r="F37">
        <v>111.1493</v>
      </c>
      <c r="G37">
        <v>0</v>
      </c>
      <c r="H37">
        <f t="shared" si="0"/>
        <v>-4.2891801663254761</v>
      </c>
      <c r="I37">
        <f t="shared" si="1"/>
        <v>1.3530578014051154E-2</v>
      </c>
      <c r="J37">
        <f t="shared" si="2"/>
        <v>0</v>
      </c>
      <c r="K37">
        <f t="shared" si="5"/>
        <v>0</v>
      </c>
      <c r="L37">
        <f t="shared" si="3"/>
        <v>0.98646942198594889</v>
      </c>
      <c r="M37">
        <f t="shared" si="4"/>
        <v>1.3622950466214196E-2</v>
      </c>
    </row>
    <row r="38" spans="1:13" x14ac:dyDescent="0.3">
      <c r="A38">
        <v>33</v>
      </c>
      <c r="B38">
        <v>51.459299999999999</v>
      </c>
      <c r="C38">
        <v>8.6175119999999996</v>
      </c>
      <c r="D38">
        <v>9.5852529999999998</v>
      </c>
      <c r="E38">
        <v>21.505400000000002</v>
      </c>
      <c r="F38">
        <v>32.794199999999996</v>
      </c>
      <c r="G38">
        <v>1</v>
      </c>
      <c r="H38">
        <f t="shared" si="0"/>
        <v>1.8225036565221959</v>
      </c>
      <c r="I38">
        <f t="shared" si="1"/>
        <v>0.86086627485174994</v>
      </c>
      <c r="J38">
        <f t="shared" si="2"/>
        <v>1</v>
      </c>
      <c r="K38">
        <f t="shared" si="5"/>
        <v>0</v>
      </c>
      <c r="L38">
        <f t="shared" si="3"/>
        <v>0.86086627485174994</v>
      </c>
      <c r="M38">
        <f t="shared" si="4"/>
        <v>0.14981610037787119</v>
      </c>
    </row>
    <row r="39" spans="1:13" x14ac:dyDescent="0.3">
      <c r="A39">
        <v>34</v>
      </c>
      <c r="B39">
        <v>122.3764</v>
      </c>
      <c r="C39">
        <v>9.0537179999999999</v>
      </c>
      <c r="D39">
        <v>6.6702239999999993</v>
      </c>
      <c r="E39">
        <v>72.572000000000003</v>
      </c>
      <c r="F39">
        <v>318.48989999999998</v>
      </c>
      <c r="G39">
        <v>0</v>
      </c>
      <c r="H39">
        <f t="shared" si="0"/>
        <v>-0.97238728467170077</v>
      </c>
      <c r="I39">
        <f t="shared" si="1"/>
        <v>0.27440492155118673</v>
      </c>
      <c r="J39">
        <f t="shared" si="2"/>
        <v>0</v>
      </c>
      <c r="K39">
        <f t="shared" si="5"/>
        <v>0</v>
      </c>
      <c r="L39">
        <f t="shared" si="3"/>
        <v>0.72559507844881321</v>
      </c>
      <c r="M39">
        <f t="shared" si="4"/>
        <v>0.32076316293738116</v>
      </c>
    </row>
    <row r="40" spans="1:13" x14ac:dyDescent="0.3">
      <c r="A40">
        <v>35</v>
      </c>
      <c r="B40">
        <v>69.549800000000005</v>
      </c>
      <c r="C40">
        <v>36.724414000000003</v>
      </c>
      <c r="D40">
        <v>39.827811000000004</v>
      </c>
      <c r="E40">
        <v>47.420400000000001</v>
      </c>
      <c r="F40">
        <v>104.0339</v>
      </c>
      <c r="G40">
        <v>0</v>
      </c>
      <c r="H40">
        <f t="shared" si="0"/>
        <v>-2.2547926939693665</v>
      </c>
      <c r="I40">
        <f t="shared" si="1"/>
        <v>9.4936857954718207E-2</v>
      </c>
      <c r="J40">
        <f t="shared" si="2"/>
        <v>0</v>
      </c>
      <c r="K40">
        <f t="shared" si="5"/>
        <v>0</v>
      </c>
      <c r="L40">
        <f t="shared" si="3"/>
        <v>0.90506314204528182</v>
      </c>
      <c r="M40">
        <f t="shared" si="4"/>
        <v>9.9750567500258208E-2</v>
      </c>
    </row>
    <row r="41" spans="1:13" x14ac:dyDescent="0.3">
      <c r="A41">
        <v>36</v>
      </c>
      <c r="B41">
        <v>161.37200000000001</v>
      </c>
      <c r="C41">
        <v>6.2935049999999997</v>
      </c>
      <c r="D41">
        <v>1.8288820000000001</v>
      </c>
      <c r="E41">
        <v>59.169800000000002</v>
      </c>
      <c r="F41">
        <v>193.7681</v>
      </c>
      <c r="G41">
        <v>0</v>
      </c>
      <c r="H41">
        <f t="shared" si="0"/>
        <v>-0.65485216441260086</v>
      </c>
      <c r="I41">
        <f t="shared" si="1"/>
        <v>0.34189694768794221</v>
      </c>
      <c r="J41">
        <f t="shared" si="2"/>
        <v>0</v>
      </c>
      <c r="K41">
        <f t="shared" si="5"/>
        <v>0</v>
      </c>
      <c r="L41">
        <f t="shared" si="3"/>
        <v>0.65810305231205779</v>
      </c>
      <c r="M41">
        <f t="shared" si="4"/>
        <v>0.41839374546356856</v>
      </c>
    </row>
    <row r="42" spans="1:13" x14ac:dyDescent="0.3">
      <c r="A42">
        <v>37</v>
      </c>
      <c r="B42">
        <v>551.65499999999997</v>
      </c>
      <c r="C42">
        <v>27.582748000000002</v>
      </c>
      <c r="D42">
        <v>5.4262789999999992</v>
      </c>
      <c r="E42">
        <v>306.92079999999999</v>
      </c>
      <c r="F42">
        <v>181.46940000000001</v>
      </c>
      <c r="G42">
        <v>0</v>
      </c>
      <c r="H42">
        <f t="shared" si="0"/>
        <v>-11.715907195919767</v>
      </c>
      <c r="I42">
        <f t="shared" si="1"/>
        <v>8.1628649089946975E-6</v>
      </c>
      <c r="J42">
        <f t="shared" si="2"/>
        <v>0</v>
      </c>
      <c r="K42">
        <f t="shared" si="5"/>
        <v>0</v>
      </c>
      <c r="L42">
        <f t="shared" si="3"/>
        <v>0.99999183713509099</v>
      </c>
      <c r="M42">
        <f t="shared" si="4"/>
        <v>8.1628982253745902E-6</v>
      </c>
    </row>
    <row r="43" spans="1:13" x14ac:dyDescent="0.3">
      <c r="A43">
        <v>38</v>
      </c>
      <c r="B43">
        <v>182.38339999999999</v>
      </c>
      <c r="C43">
        <v>19.927461000000001</v>
      </c>
      <c r="D43">
        <v>2.7875650000000003</v>
      </c>
      <c r="E43">
        <v>10.3626</v>
      </c>
      <c r="F43">
        <v>118.2642</v>
      </c>
      <c r="G43">
        <v>0</v>
      </c>
      <c r="H43">
        <f t="shared" si="0"/>
        <v>-0.4725029283104103</v>
      </c>
      <c r="I43">
        <f t="shared" si="1"/>
        <v>0.38402400539107445</v>
      </c>
      <c r="J43">
        <f t="shared" si="2"/>
        <v>0</v>
      </c>
      <c r="K43">
        <f t="shared" si="5"/>
        <v>0</v>
      </c>
      <c r="L43">
        <f t="shared" si="3"/>
        <v>0.6159759946089256</v>
      </c>
      <c r="M43">
        <f t="shared" si="4"/>
        <v>0.48454728599866448</v>
      </c>
    </row>
    <row r="44" spans="1:13" x14ac:dyDescent="0.3">
      <c r="A44">
        <v>39</v>
      </c>
      <c r="B44">
        <v>328.18959999999998</v>
      </c>
      <c r="C44">
        <v>3.979425</v>
      </c>
      <c r="D44">
        <v>1.937022</v>
      </c>
      <c r="E44">
        <v>341.23700000000002</v>
      </c>
      <c r="F44">
        <v>519.79359999999997</v>
      </c>
      <c r="G44">
        <v>0</v>
      </c>
      <c r="H44">
        <f t="shared" si="0"/>
        <v>-8.3025364745784067</v>
      </c>
      <c r="I44">
        <f t="shared" si="1"/>
        <v>2.4782583639012249E-4</v>
      </c>
      <c r="J44">
        <f t="shared" si="2"/>
        <v>0</v>
      </c>
      <c r="K44">
        <f t="shared" si="5"/>
        <v>0</v>
      </c>
      <c r="L44">
        <f t="shared" si="3"/>
        <v>0.99975217416360984</v>
      </c>
      <c r="M44">
        <f t="shared" si="4"/>
        <v>2.4785655028731953E-4</v>
      </c>
    </row>
    <row r="45" spans="1:13" x14ac:dyDescent="0.3">
      <c r="A45">
        <v>40</v>
      </c>
      <c r="B45">
        <v>241.71199999999999</v>
      </c>
      <c r="C45">
        <v>8.6438300000000012</v>
      </c>
      <c r="D45">
        <v>19.643475000000002</v>
      </c>
      <c r="E45">
        <v>970.35080000000005</v>
      </c>
      <c r="F45">
        <v>78.42179999999999</v>
      </c>
      <c r="G45">
        <v>0</v>
      </c>
      <c r="H45">
        <f t="shared" si="0"/>
        <v>-13.376774244408363</v>
      </c>
      <c r="I45">
        <f t="shared" si="1"/>
        <v>1.5507439178769184E-6</v>
      </c>
      <c r="J45">
        <f t="shared" si="2"/>
        <v>0</v>
      </c>
      <c r="K45">
        <f t="shared" si="5"/>
        <v>0</v>
      </c>
      <c r="L45">
        <f t="shared" si="3"/>
        <v>0.99999844925608217</v>
      </c>
      <c r="M45">
        <f t="shared" si="4"/>
        <v>1.5507451202376453E-6</v>
      </c>
    </row>
    <row r="46" spans="1:13" x14ac:dyDescent="0.3">
      <c r="A46">
        <v>41</v>
      </c>
      <c r="B46">
        <v>175.3862</v>
      </c>
      <c r="C46">
        <v>21.978076999999999</v>
      </c>
      <c r="D46">
        <v>13.692077999999999</v>
      </c>
      <c r="E46">
        <v>58.794199999999996</v>
      </c>
      <c r="F46">
        <v>78.313400000000001</v>
      </c>
      <c r="G46">
        <v>0</v>
      </c>
      <c r="H46">
        <f t="shared" si="0"/>
        <v>-1.77381897644322</v>
      </c>
      <c r="I46">
        <f t="shared" si="1"/>
        <v>0.14506804454409267</v>
      </c>
      <c r="J46">
        <f t="shared" si="2"/>
        <v>0</v>
      </c>
      <c r="K46">
        <f t="shared" si="5"/>
        <v>0</v>
      </c>
      <c r="L46">
        <f t="shared" si="3"/>
        <v>0.85493195545590739</v>
      </c>
      <c r="M46">
        <f t="shared" si="4"/>
        <v>0.15673339747446888</v>
      </c>
    </row>
    <row r="47" spans="1:13" x14ac:dyDescent="0.3">
      <c r="A47">
        <v>42</v>
      </c>
      <c r="B47">
        <v>448.85840000000002</v>
      </c>
      <c r="C47">
        <v>16.29569</v>
      </c>
      <c r="D47">
        <v>12.220743000000001</v>
      </c>
      <c r="E47">
        <v>54.878599999999999</v>
      </c>
      <c r="F47">
        <v>181.03559999999999</v>
      </c>
      <c r="G47">
        <v>0</v>
      </c>
      <c r="H47">
        <f t="shared" si="0"/>
        <v>-7.4909988276125326</v>
      </c>
      <c r="I47">
        <f t="shared" si="1"/>
        <v>5.5777396561552495E-4</v>
      </c>
      <c r="J47">
        <f t="shared" si="2"/>
        <v>0</v>
      </c>
      <c r="K47">
        <f t="shared" si="5"/>
        <v>0</v>
      </c>
      <c r="L47">
        <f t="shared" si="3"/>
        <v>0.99944222603438448</v>
      </c>
      <c r="M47">
        <f t="shared" si="4"/>
        <v>5.5792957938143679E-4</v>
      </c>
    </row>
    <row r="48" spans="1:13" x14ac:dyDescent="0.3">
      <c r="A48">
        <v>43</v>
      </c>
      <c r="B48">
        <v>58.769100000000002</v>
      </c>
      <c r="C48">
        <v>32.248958999999999</v>
      </c>
      <c r="D48">
        <v>7.0198979999999995</v>
      </c>
      <c r="E48">
        <v>39.796399999999998</v>
      </c>
      <c r="F48">
        <v>134.58539999999999</v>
      </c>
      <c r="G48">
        <v>1</v>
      </c>
      <c r="H48">
        <f t="shared" si="0"/>
        <v>1.1524905906290535</v>
      </c>
      <c r="I48">
        <f t="shared" si="1"/>
        <v>0.75996553942541056</v>
      </c>
      <c r="J48">
        <f t="shared" si="2"/>
        <v>1</v>
      </c>
      <c r="K48">
        <f t="shared" si="5"/>
        <v>0</v>
      </c>
      <c r="L48">
        <f t="shared" si="3"/>
        <v>0.75996553942541056</v>
      </c>
      <c r="M48">
        <f t="shared" si="4"/>
        <v>0.27448218959108078</v>
      </c>
    </row>
    <row r="49" spans="1:13" x14ac:dyDescent="0.3">
      <c r="A49">
        <v>44</v>
      </c>
      <c r="B49">
        <v>102.05185</v>
      </c>
      <c r="C49">
        <v>21.846651999999999</v>
      </c>
      <c r="D49">
        <v>4.7408210000000004</v>
      </c>
      <c r="E49">
        <v>15.6587</v>
      </c>
      <c r="F49">
        <v>177.72569999999999</v>
      </c>
      <c r="G49">
        <v>1</v>
      </c>
      <c r="H49">
        <f t="shared" si="0"/>
        <v>0.67208639164223438</v>
      </c>
      <c r="I49">
        <f t="shared" si="1"/>
        <v>0.6619701796599935</v>
      </c>
      <c r="J49">
        <f t="shared" si="2"/>
        <v>1</v>
      </c>
      <c r="K49">
        <f t="shared" si="5"/>
        <v>0</v>
      </c>
      <c r="L49">
        <f t="shared" si="3"/>
        <v>0.6619701796599935</v>
      </c>
      <c r="M49">
        <f t="shared" si="4"/>
        <v>0.41253476989054827</v>
      </c>
    </row>
    <row r="50" spans="1:13" x14ac:dyDescent="0.3">
      <c r="A50">
        <v>45</v>
      </c>
      <c r="B50">
        <v>919.11860000000001</v>
      </c>
      <c r="C50">
        <v>12.946122000000001</v>
      </c>
      <c r="D50">
        <v>5.4107759999999994</v>
      </c>
      <c r="E50">
        <v>9.1707999999999998</v>
      </c>
      <c r="F50">
        <v>98.875900000000001</v>
      </c>
      <c r="G50">
        <v>0</v>
      </c>
      <c r="H50">
        <f t="shared" si="0"/>
        <v>-15.555844906829378</v>
      </c>
      <c r="I50">
        <f t="shared" si="1"/>
        <v>1.7546169459298237E-7</v>
      </c>
      <c r="J50">
        <f t="shared" si="2"/>
        <v>0</v>
      </c>
      <c r="K50">
        <f t="shared" si="5"/>
        <v>0</v>
      </c>
      <c r="L50">
        <f t="shared" si="3"/>
        <v>0.99999982453830538</v>
      </c>
      <c r="M50">
        <f t="shared" si="4"/>
        <v>1.7546171001153359E-7</v>
      </c>
    </row>
    <row r="51" spans="1:13" x14ac:dyDescent="0.3">
      <c r="A51">
        <v>46</v>
      </c>
      <c r="B51">
        <v>157.173</v>
      </c>
      <c r="C51">
        <v>8.236286999999999</v>
      </c>
      <c r="D51">
        <v>1.4219409999999999</v>
      </c>
      <c r="E51">
        <v>48.101300000000002</v>
      </c>
      <c r="F51">
        <v>101.1097</v>
      </c>
      <c r="G51">
        <v>1</v>
      </c>
      <c r="H51">
        <f t="shared" si="0"/>
        <v>-7.457368805856035E-2</v>
      </c>
      <c r="I51">
        <f t="shared" si="1"/>
        <v>0.48136521322064346</v>
      </c>
      <c r="J51">
        <f t="shared" si="2"/>
        <v>0</v>
      </c>
      <c r="K51">
        <f t="shared" si="5"/>
        <v>1</v>
      </c>
      <c r="L51">
        <f t="shared" si="3"/>
        <v>0.48136521322064346</v>
      </c>
      <c r="M51">
        <f t="shared" si="4"/>
        <v>0.73112901793788687</v>
      </c>
    </row>
    <row r="52" spans="1:13" x14ac:dyDescent="0.3">
      <c r="A52">
        <v>47</v>
      </c>
      <c r="B52">
        <v>113.3558</v>
      </c>
      <c r="C52">
        <v>30.756010999999997</v>
      </c>
      <c r="D52">
        <v>13.094432999999999</v>
      </c>
      <c r="E52">
        <v>51.192999999999998</v>
      </c>
      <c r="F52">
        <v>140.1842</v>
      </c>
      <c r="G52">
        <v>0</v>
      </c>
      <c r="H52">
        <f t="shared" si="0"/>
        <v>-0.67851162708979995</v>
      </c>
      <c r="I52">
        <f t="shared" si="1"/>
        <v>0.33659357292248049</v>
      </c>
      <c r="J52">
        <f t="shared" si="2"/>
        <v>0</v>
      </c>
      <c r="K52">
        <f t="shared" si="5"/>
        <v>0</v>
      </c>
      <c r="L52">
        <f t="shared" si="3"/>
        <v>0.66340642707751951</v>
      </c>
      <c r="M52">
        <f t="shared" si="4"/>
        <v>0.41036746442820421</v>
      </c>
    </row>
    <row r="53" spans="1:13" x14ac:dyDescent="0.3">
      <c r="A53">
        <v>48</v>
      </c>
      <c r="B53">
        <v>417.32279999999997</v>
      </c>
      <c r="C53">
        <v>18.725393999999998</v>
      </c>
      <c r="D53">
        <v>19.699802999999999</v>
      </c>
      <c r="E53">
        <v>200.78739999999999</v>
      </c>
      <c r="F53">
        <v>179.03540000000001</v>
      </c>
      <c r="G53">
        <v>0</v>
      </c>
      <c r="H53">
        <f t="shared" si="0"/>
        <v>-9.1542518484131694</v>
      </c>
      <c r="I53">
        <f t="shared" si="1"/>
        <v>1.0575794509363134E-4</v>
      </c>
      <c r="J53">
        <f t="shared" si="2"/>
        <v>0</v>
      </c>
      <c r="K53">
        <f t="shared" si="5"/>
        <v>0</v>
      </c>
      <c r="L53">
        <f t="shared" si="3"/>
        <v>0.9998942420549064</v>
      </c>
      <c r="M53">
        <f t="shared" si="4"/>
        <v>1.057635378593969E-4</v>
      </c>
    </row>
    <row r="54" spans="1:13" x14ac:dyDescent="0.3">
      <c r="A54">
        <v>49</v>
      </c>
      <c r="B54">
        <v>277.78359999999998</v>
      </c>
      <c r="C54">
        <v>10.678865</v>
      </c>
      <c r="D54">
        <v>27.549641000000001</v>
      </c>
      <c r="E54">
        <v>123.92140000000001</v>
      </c>
      <c r="F54">
        <v>259.12</v>
      </c>
      <c r="G54">
        <v>0</v>
      </c>
      <c r="H54">
        <f t="shared" si="0"/>
        <v>-6.4968596781722603</v>
      </c>
      <c r="I54">
        <f t="shared" si="1"/>
        <v>1.5058967516950184E-3</v>
      </c>
      <c r="J54">
        <f t="shared" si="2"/>
        <v>0</v>
      </c>
      <c r="K54">
        <f t="shared" si="5"/>
        <v>0</v>
      </c>
      <c r="L54">
        <f t="shared" si="3"/>
        <v>0.99849410324830501</v>
      </c>
      <c r="M54">
        <f t="shared" si="4"/>
        <v>1.5070317538154855E-3</v>
      </c>
    </row>
    <row r="55" spans="1:13" x14ac:dyDescent="0.3">
      <c r="A55">
        <v>50</v>
      </c>
      <c r="B55">
        <v>95.724000000000004</v>
      </c>
      <c r="C55">
        <v>39.450245000000002</v>
      </c>
      <c r="D55">
        <v>8.0348319999999998</v>
      </c>
      <c r="E55">
        <v>138.7998</v>
      </c>
      <c r="F55">
        <v>163.7998</v>
      </c>
      <c r="G55">
        <v>0</v>
      </c>
      <c r="H55">
        <f t="shared" si="0"/>
        <v>-0.92767212506445951</v>
      </c>
      <c r="I55">
        <f t="shared" si="1"/>
        <v>0.28339722842341447</v>
      </c>
      <c r="J55">
        <f t="shared" si="2"/>
        <v>0</v>
      </c>
      <c r="K55">
        <f t="shared" si="5"/>
        <v>0</v>
      </c>
      <c r="L55">
        <f t="shared" si="3"/>
        <v>0.71660277157658547</v>
      </c>
      <c r="M55">
        <f t="shared" si="4"/>
        <v>0.33323360644281347</v>
      </c>
    </row>
    <row r="56" spans="1:13" x14ac:dyDescent="0.3">
      <c r="A56">
        <v>51</v>
      </c>
      <c r="B56">
        <v>133.06120000000001</v>
      </c>
      <c r="C56">
        <v>31.008163</v>
      </c>
      <c r="D56">
        <v>16.583672999999997</v>
      </c>
      <c r="E56">
        <v>5.7141999999999999</v>
      </c>
      <c r="F56">
        <v>44.591799999999999</v>
      </c>
      <c r="G56">
        <v>0</v>
      </c>
      <c r="H56">
        <f t="shared" si="0"/>
        <v>-0.56859155441378473</v>
      </c>
      <c r="I56">
        <f t="shared" si="1"/>
        <v>0.36156187979494075</v>
      </c>
      <c r="J56">
        <f t="shared" si="2"/>
        <v>0</v>
      </c>
      <c r="K56">
        <f t="shared" si="5"/>
        <v>0</v>
      </c>
      <c r="L56">
        <f t="shared" si="3"/>
        <v>0.6384381202050593</v>
      </c>
      <c r="M56">
        <f t="shared" si="4"/>
        <v>0.44873052252857776</v>
      </c>
    </row>
    <row r="57" spans="1:13" x14ac:dyDescent="0.3">
      <c r="A57">
        <v>52</v>
      </c>
      <c r="B57">
        <v>39.968600000000002</v>
      </c>
      <c r="C57">
        <v>20.952193999999999</v>
      </c>
      <c r="D57">
        <v>14.874608</v>
      </c>
      <c r="E57">
        <v>126.1756</v>
      </c>
      <c r="F57">
        <v>123.7461</v>
      </c>
      <c r="G57">
        <v>0</v>
      </c>
      <c r="H57">
        <f t="shared" si="0"/>
        <v>-2.4612100040868334E-2</v>
      </c>
      <c r="I57">
        <f t="shared" si="1"/>
        <v>0.49384728557334812</v>
      </c>
      <c r="J57">
        <f t="shared" si="2"/>
        <v>0</v>
      </c>
      <c r="K57">
        <f t="shared" si="5"/>
        <v>0</v>
      </c>
      <c r="L57">
        <f t="shared" si="3"/>
        <v>0.50615271442665188</v>
      </c>
      <c r="M57">
        <f t="shared" si="4"/>
        <v>0.68091684806199682</v>
      </c>
    </row>
    <row r="58" spans="1:13" x14ac:dyDescent="0.3">
      <c r="A58">
        <v>53</v>
      </c>
      <c r="B58">
        <v>102.1739</v>
      </c>
      <c r="C58">
        <v>27.339130000000001</v>
      </c>
      <c r="D58">
        <v>3.93913</v>
      </c>
      <c r="E58">
        <v>38.260899999999999</v>
      </c>
      <c r="F58">
        <v>165.08699999999999</v>
      </c>
      <c r="G58">
        <v>1</v>
      </c>
      <c r="H58">
        <f t="shared" si="0"/>
        <v>0.5093381315752139</v>
      </c>
      <c r="I58">
        <f t="shared" si="1"/>
        <v>0.62465130424680515</v>
      </c>
      <c r="J58">
        <f t="shared" si="2"/>
        <v>1</v>
      </c>
      <c r="K58">
        <f t="shared" si="5"/>
        <v>0</v>
      </c>
      <c r="L58">
        <f t="shared" si="3"/>
        <v>0.62465130424680515</v>
      </c>
      <c r="M58">
        <f t="shared" si="4"/>
        <v>0.47056169814233045</v>
      </c>
    </row>
    <row r="59" spans="1:13" x14ac:dyDescent="0.3">
      <c r="A59">
        <v>54</v>
      </c>
      <c r="B59">
        <v>16.966049999999999</v>
      </c>
      <c r="C59">
        <v>50.933134000000003</v>
      </c>
      <c r="D59">
        <v>29.780439000000001</v>
      </c>
      <c r="E59">
        <v>12.475</v>
      </c>
      <c r="F59">
        <v>41.914200000000001</v>
      </c>
      <c r="G59">
        <v>1</v>
      </c>
      <c r="H59">
        <f t="shared" si="0"/>
        <v>0.28795209086302354</v>
      </c>
      <c r="I59">
        <f t="shared" si="1"/>
        <v>0.57149469711065704</v>
      </c>
      <c r="J59">
        <f t="shared" si="2"/>
        <v>1</v>
      </c>
      <c r="K59">
        <f t="shared" si="5"/>
        <v>0</v>
      </c>
      <c r="L59">
        <f t="shared" si="3"/>
        <v>0.57149469711065704</v>
      </c>
      <c r="M59">
        <f t="shared" si="4"/>
        <v>0.55950007468680907</v>
      </c>
    </row>
    <row r="60" spans="1:13" x14ac:dyDescent="0.3">
      <c r="A60">
        <v>55</v>
      </c>
      <c r="B60">
        <v>293.51799999999997</v>
      </c>
      <c r="C60">
        <v>43.684224</v>
      </c>
      <c r="D60">
        <v>7.0100840000000009</v>
      </c>
      <c r="E60">
        <v>48.919600000000003</v>
      </c>
      <c r="F60">
        <v>206.62729999999999</v>
      </c>
      <c r="G60">
        <v>0</v>
      </c>
      <c r="H60">
        <f t="shared" si="0"/>
        <v>-4.0790635001228761</v>
      </c>
      <c r="I60">
        <f t="shared" si="1"/>
        <v>1.6641674739627077E-2</v>
      </c>
      <c r="J60">
        <f t="shared" si="2"/>
        <v>0</v>
      </c>
      <c r="K60">
        <f t="shared" si="5"/>
        <v>0</v>
      </c>
      <c r="L60">
        <f t="shared" si="3"/>
        <v>0.98335832526037292</v>
      </c>
      <c r="M60">
        <f t="shared" si="4"/>
        <v>1.6781703120326754E-2</v>
      </c>
    </row>
    <row r="61" spans="1:13" x14ac:dyDescent="0.3">
      <c r="A61">
        <v>56</v>
      </c>
      <c r="B61">
        <v>133.33340000000001</v>
      </c>
      <c r="C61">
        <v>23.614379</v>
      </c>
      <c r="D61">
        <v>10.098039</v>
      </c>
      <c r="E61">
        <v>24.836600000000001</v>
      </c>
      <c r="F61">
        <v>92.9739</v>
      </c>
      <c r="G61">
        <v>0</v>
      </c>
      <c r="H61">
        <f t="shared" si="0"/>
        <v>-0.27445710521966937</v>
      </c>
      <c r="I61">
        <f t="shared" si="1"/>
        <v>0.43181321112721405</v>
      </c>
      <c r="J61">
        <f t="shared" si="2"/>
        <v>0</v>
      </c>
      <c r="K61">
        <f t="shared" si="5"/>
        <v>0</v>
      </c>
      <c r="L61">
        <f t="shared" si="3"/>
        <v>0.56818678887278595</v>
      </c>
      <c r="M61">
        <f t="shared" si="4"/>
        <v>0.5653050606722243</v>
      </c>
    </row>
    <row r="62" spans="1:13" x14ac:dyDescent="0.3">
      <c r="A62">
        <v>57</v>
      </c>
      <c r="B62">
        <v>131.6343</v>
      </c>
      <c r="C62">
        <v>12.737845</v>
      </c>
      <c r="D62">
        <v>5.5919829999999999</v>
      </c>
      <c r="E62">
        <v>3.4641000000000002</v>
      </c>
      <c r="F62">
        <v>38.589300000000001</v>
      </c>
      <c r="G62">
        <v>1</v>
      </c>
      <c r="H62">
        <f t="shared" si="0"/>
        <v>0.72014088311369751</v>
      </c>
      <c r="I62">
        <f t="shared" si="1"/>
        <v>0.67263803973544722</v>
      </c>
      <c r="J62">
        <f t="shared" si="2"/>
        <v>1</v>
      </c>
      <c r="K62">
        <f t="shared" si="5"/>
        <v>0</v>
      </c>
      <c r="L62">
        <f t="shared" si="3"/>
        <v>0.67263803973544722</v>
      </c>
      <c r="M62">
        <f t="shared" si="4"/>
        <v>0.39654792502268899</v>
      </c>
    </row>
    <row r="63" spans="1:13" x14ac:dyDescent="0.3">
      <c r="A63">
        <v>58</v>
      </c>
      <c r="B63">
        <v>30.389150000000001</v>
      </c>
      <c r="C63">
        <v>42.006177000000001</v>
      </c>
      <c r="D63">
        <v>11.147621999999998</v>
      </c>
      <c r="E63">
        <v>37.554000000000002</v>
      </c>
      <c r="F63">
        <v>141.80420000000001</v>
      </c>
      <c r="G63">
        <v>1</v>
      </c>
      <c r="H63">
        <f t="shared" si="0"/>
        <v>1.2473739817506808</v>
      </c>
      <c r="I63">
        <f t="shared" si="1"/>
        <v>0.77684495384540997</v>
      </c>
      <c r="J63">
        <f t="shared" si="2"/>
        <v>1</v>
      </c>
      <c r="K63">
        <f t="shared" si="5"/>
        <v>0</v>
      </c>
      <c r="L63">
        <f t="shared" si="3"/>
        <v>0.77684495384540997</v>
      </c>
      <c r="M63">
        <f t="shared" si="4"/>
        <v>0.25251449312666424</v>
      </c>
    </row>
    <row r="64" spans="1:13" x14ac:dyDescent="0.3">
      <c r="A64">
        <v>59</v>
      </c>
      <c r="B64">
        <v>88.869799999999998</v>
      </c>
      <c r="C64">
        <v>19.162552000000002</v>
      </c>
      <c r="D64">
        <v>18.752382999999998</v>
      </c>
      <c r="E64">
        <v>8.5451999999999995</v>
      </c>
      <c r="F64">
        <v>113.0153</v>
      </c>
      <c r="G64">
        <v>0</v>
      </c>
      <c r="H64">
        <f t="shared" si="0"/>
        <v>-7.7611576633140444E-2</v>
      </c>
      <c r="I64">
        <f t="shared" si="1"/>
        <v>0.48060683951492195</v>
      </c>
      <c r="J64">
        <f t="shared" si="2"/>
        <v>0</v>
      </c>
      <c r="K64">
        <f t="shared" si="5"/>
        <v>0</v>
      </c>
      <c r="L64">
        <f t="shared" si="3"/>
        <v>0.51939316048507811</v>
      </c>
      <c r="M64">
        <f t="shared" si="4"/>
        <v>0.65509414794747056</v>
      </c>
    </row>
    <row r="65" spans="1:13" x14ac:dyDescent="0.3">
      <c r="A65">
        <v>60</v>
      </c>
      <c r="B65">
        <v>59.764200000000002</v>
      </c>
      <c r="C65">
        <v>9.0393369999999997</v>
      </c>
      <c r="D65">
        <v>19.432707000000001</v>
      </c>
      <c r="E65">
        <v>42.955599999999997</v>
      </c>
      <c r="F65">
        <v>50.213000000000001</v>
      </c>
      <c r="G65">
        <v>0</v>
      </c>
      <c r="H65">
        <f t="shared" si="0"/>
        <v>0.39743841474304409</v>
      </c>
      <c r="I65">
        <f t="shared" si="1"/>
        <v>0.59807205644228156</v>
      </c>
      <c r="J65">
        <f t="shared" si="2"/>
        <v>1</v>
      </c>
      <c r="K65">
        <f t="shared" si="5"/>
        <v>1</v>
      </c>
      <c r="L65">
        <f t="shared" si="3"/>
        <v>0.40192794355771844</v>
      </c>
      <c r="M65">
        <f t="shared" si="4"/>
        <v>0.91148245131069705</v>
      </c>
    </row>
    <row r="66" spans="1:13" x14ac:dyDescent="0.3">
      <c r="A66">
        <v>61</v>
      </c>
      <c r="B66">
        <v>34.296950000000002</v>
      </c>
      <c r="C66">
        <v>31.876763999999998</v>
      </c>
      <c r="D66">
        <v>12.722233000000001</v>
      </c>
      <c r="E66">
        <v>112.9211</v>
      </c>
      <c r="F66">
        <v>79.889099999999999</v>
      </c>
      <c r="G66">
        <v>1</v>
      </c>
      <c r="H66">
        <f t="shared" si="0"/>
        <v>0.52186618110307892</v>
      </c>
      <c r="I66">
        <f t="shared" si="1"/>
        <v>0.62758403822495101</v>
      </c>
      <c r="J66">
        <f t="shared" si="2"/>
        <v>1</v>
      </c>
      <c r="K66">
        <f t="shared" si="5"/>
        <v>0</v>
      </c>
      <c r="L66">
        <f t="shared" si="3"/>
        <v>0.62758403822495101</v>
      </c>
      <c r="M66">
        <f t="shared" si="4"/>
        <v>0.46587769148532238</v>
      </c>
    </row>
    <row r="67" spans="1:13" x14ac:dyDescent="0.3">
      <c r="A67">
        <v>62</v>
      </c>
      <c r="B67">
        <v>75.825500000000005</v>
      </c>
      <c r="C67">
        <v>11.58989</v>
      </c>
      <c r="D67">
        <v>0.627803</v>
      </c>
      <c r="E67">
        <v>5.2995999999999999</v>
      </c>
      <c r="F67">
        <v>44.250700000000002</v>
      </c>
      <c r="G67">
        <v>1</v>
      </c>
      <c r="H67">
        <f t="shared" si="0"/>
        <v>2.3042960150224392</v>
      </c>
      <c r="I67">
        <f t="shared" si="1"/>
        <v>0.90923220867240684</v>
      </c>
      <c r="J67">
        <f t="shared" si="2"/>
        <v>1</v>
      </c>
      <c r="K67">
        <f t="shared" si="5"/>
        <v>0</v>
      </c>
      <c r="L67">
        <f t="shared" si="3"/>
        <v>0.90923220867240684</v>
      </c>
      <c r="M67">
        <f t="shared" si="4"/>
        <v>9.5154762342596746E-2</v>
      </c>
    </row>
    <row r="68" spans="1:13" x14ac:dyDescent="0.3">
      <c r="A68">
        <v>63</v>
      </c>
      <c r="B68">
        <v>60.285200000000003</v>
      </c>
      <c r="C68">
        <v>15.595087000000001</v>
      </c>
      <c r="D68">
        <v>11.274884</v>
      </c>
      <c r="E68">
        <v>2.5413000000000001</v>
      </c>
      <c r="F68">
        <v>4.9297000000000004</v>
      </c>
      <c r="G68">
        <v>1</v>
      </c>
      <c r="H68">
        <f t="shared" si="0"/>
        <v>1.7330259095068823</v>
      </c>
      <c r="I68">
        <f t="shared" si="1"/>
        <v>0.84979905816224222</v>
      </c>
      <c r="J68">
        <f t="shared" si="2"/>
        <v>1</v>
      </c>
      <c r="K68">
        <f t="shared" si="5"/>
        <v>0</v>
      </c>
      <c r="L68">
        <f t="shared" si="3"/>
        <v>0.84979905816224222</v>
      </c>
      <c r="M68">
        <f t="shared" si="4"/>
        <v>0.16275535960723864</v>
      </c>
    </row>
    <row r="69" spans="1:13" x14ac:dyDescent="0.3">
      <c r="A69">
        <v>64</v>
      </c>
      <c r="B69">
        <v>52.327399999999997</v>
      </c>
      <c r="C69">
        <v>17.149459999999998</v>
      </c>
      <c r="D69">
        <v>7.4723649999999999</v>
      </c>
      <c r="E69">
        <v>26.512599999999999</v>
      </c>
      <c r="F69">
        <v>175.00550000000001</v>
      </c>
      <c r="G69">
        <v>0</v>
      </c>
      <c r="H69">
        <f t="shared" si="0"/>
        <v>1.3482893489329433</v>
      </c>
      <c r="I69">
        <f t="shared" si="1"/>
        <v>0.79384981696517998</v>
      </c>
      <c r="J69">
        <f t="shared" si="2"/>
        <v>1</v>
      </c>
      <c r="K69">
        <f t="shared" si="5"/>
        <v>1</v>
      </c>
      <c r="L69">
        <f t="shared" si="3"/>
        <v>0.20615018303482002</v>
      </c>
      <c r="M69">
        <f t="shared" si="4"/>
        <v>1.5791503319575872</v>
      </c>
    </row>
    <row r="70" spans="1:13" x14ac:dyDescent="0.3">
      <c r="A70">
        <v>65</v>
      </c>
      <c r="B70">
        <v>112.3224</v>
      </c>
      <c r="C70">
        <v>20.515362</v>
      </c>
      <c r="D70">
        <v>19.081599000000001</v>
      </c>
      <c r="E70">
        <v>133.46539999999999</v>
      </c>
      <c r="F70">
        <v>41.187600000000003</v>
      </c>
      <c r="G70">
        <v>0</v>
      </c>
      <c r="H70">
        <f t="shared" si="0"/>
        <v>-1.6645766407491287</v>
      </c>
      <c r="I70">
        <f t="shared" si="1"/>
        <v>0.15914859360918837</v>
      </c>
      <c r="J70">
        <f t="shared" si="2"/>
        <v>0</v>
      </c>
      <c r="K70">
        <f t="shared" si="5"/>
        <v>0</v>
      </c>
      <c r="L70">
        <f t="shared" si="3"/>
        <v>0.84085140639081168</v>
      </c>
      <c r="M70">
        <f t="shared" si="4"/>
        <v>0.17334032143249503</v>
      </c>
    </row>
    <row r="71" spans="1:13" x14ac:dyDescent="0.3">
      <c r="A71">
        <v>66</v>
      </c>
      <c r="B71">
        <v>1112.9494</v>
      </c>
      <c r="C71">
        <v>10.174992</v>
      </c>
      <c r="D71">
        <v>10.034998</v>
      </c>
      <c r="E71">
        <v>5.7270000000000003</v>
      </c>
      <c r="F71">
        <v>85.451799999999992</v>
      </c>
      <c r="G71">
        <v>0</v>
      </c>
      <c r="H71">
        <f t="shared" ref="H71:H92" si="6">SUMPRODUCT($B$4:$F$4, B71:F71) + $G$4</f>
        <v>-19.833704449135848</v>
      </c>
      <c r="I71">
        <f t="shared" ref="I71:I92" si="7">1/(1+EXP(0 - H71))</f>
        <v>2.434061802018977E-9</v>
      </c>
      <c r="J71">
        <f t="shared" ref="J71:J92" si="8">IF(I71&gt;0.5, 1, 0)</f>
        <v>0</v>
      </c>
      <c r="K71">
        <f t="shared" si="5"/>
        <v>0</v>
      </c>
      <c r="L71">
        <f t="shared" ref="L71:L92" si="9">IF(G71=1, I71, 1-I71)</f>
        <v>0.99999999756593816</v>
      </c>
      <c r="M71">
        <f t="shared" ref="M71:M92" si="10">IF(L71=0, 1000000, -LN(L71))</f>
        <v>2.4340618439347188E-9</v>
      </c>
    </row>
    <row r="72" spans="1:13" x14ac:dyDescent="0.3">
      <c r="A72">
        <v>67</v>
      </c>
      <c r="B72">
        <v>20.931899999999999</v>
      </c>
      <c r="C72">
        <v>27.724731000000002</v>
      </c>
      <c r="D72">
        <v>9.8437280000000005</v>
      </c>
      <c r="E72">
        <v>15.7706</v>
      </c>
      <c r="F72">
        <v>20.218599999999999</v>
      </c>
      <c r="G72">
        <v>1</v>
      </c>
      <c r="H72">
        <f t="shared" si="6"/>
        <v>2.3753391855005335</v>
      </c>
      <c r="I72">
        <f t="shared" si="7"/>
        <v>0.91492735930940949</v>
      </c>
      <c r="J72">
        <f t="shared" si="8"/>
        <v>1</v>
      </c>
      <c r="K72">
        <f t="shared" ref="K72:K92" si="11">IF(G72 = J72, 0, 1)</f>
        <v>0</v>
      </c>
      <c r="L72">
        <f t="shared" si="9"/>
        <v>0.91492735930940949</v>
      </c>
      <c r="M72">
        <f t="shared" si="10"/>
        <v>8.891060559095379E-2</v>
      </c>
    </row>
    <row r="73" spans="1:13" x14ac:dyDescent="0.3">
      <c r="A73">
        <v>68</v>
      </c>
      <c r="B73">
        <v>2795.6318000000001</v>
      </c>
      <c r="C73">
        <v>10.682173000000001</v>
      </c>
      <c r="D73">
        <v>4.2433699999999996</v>
      </c>
      <c r="E73">
        <v>10.211399999999999</v>
      </c>
      <c r="F73">
        <v>36.3459</v>
      </c>
      <c r="G73">
        <v>0</v>
      </c>
      <c r="H73">
        <f t="shared" si="6"/>
        <v>-53.328666300342633</v>
      </c>
      <c r="I73">
        <f t="shared" si="7"/>
        <v>6.9128080601180452E-24</v>
      </c>
      <c r="J73">
        <f t="shared" si="8"/>
        <v>0</v>
      </c>
      <c r="K73">
        <f t="shared" si="11"/>
        <v>0</v>
      </c>
      <c r="L73">
        <f t="shared" si="9"/>
        <v>1</v>
      </c>
      <c r="M73">
        <f t="shared" si="10"/>
        <v>0</v>
      </c>
    </row>
    <row r="74" spans="1:13" x14ac:dyDescent="0.3">
      <c r="A74">
        <v>69</v>
      </c>
      <c r="B74">
        <v>124.73779999999999</v>
      </c>
      <c r="C74">
        <v>23.328166</v>
      </c>
      <c r="D74">
        <v>13.236072</v>
      </c>
      <c r="E74">
        <v>40.849800000000002</v>
      </c>
      <c r="F74">
        <v>80.803799999999995</v>
      </c>
      <c r="G74">
        <v>0</v>
      </c>
      <c r="H74">
        <f t="shared" si="6"/>
        <v>-0.52795794761062975</v>
      </c>
      <c r="I74">
        <f t="shared" si="7"/>
        <v>0.37099329013276938</v>
      </c>
      <c r="J74">
        <f t="shared" si="8"/>
        <v>0</v>
      </c>
      <c r="K74">
        <f t="shared" si="11"/>
        <v>0</v>
      </c>
      <c r="L74">
        <f t="shared" si="9"/>
        <v>0.62900670986723062</v>
      </c>
      <c r="M74">
        <f t="shared" si="10"/>
        <v>0.4636133548231241</v>
      </c>
    </row>
    <row r="75" spans="1:13" x14ac:dyDescent="0.3">
      <c r="A75">
        <v>70</v>
      </c>
      <c r="B75">
        <v>461.43079999999998</v>
      </c>
      <c r="C75">
        <v>20.47879</v>
      </c>
      <c r="D75">
        <v>9.0662190000000002</v>
      </c>
      <c r="E75">
        <v>15.679600000000001</v>
      </c>
      <c r="F75">
        <v>88.838700000000003</v>
      </c>
      <c r="G75">
        <v>0</v>
      </c>
      <c r="H75">
        <f t="shared" si="6"/>
        <v>-6.7022662800610231</v>
      </c>
      <c r="I75">
        <f t="shared" si="7"/>
        <v>1.2266190281117388E-3</v>
      </c>
      <c r="J75">
        <f t="shared" si="8"/>
        <v>0</v>
      </c>
      <c r="K75">
        <f t="shared" si="11"/>
        <v>0</v>
      </c>
      <c r="L75">
        <f t="shared" si="9"/>
        <v>0.99877338097188828</v>
      </c>
      <c r="M75">
        <f t="shared" si="10"/>
        <v>1.2273719409862641E-3</v>
      </c>
    </row>
    <row r="76" spans="1:13" x14ac:dyDescent="0.3">
      <c r="A76">
        <v>71</v>
      </c>
      <c r="B76">
        <v>120.726</v>
      </c>
      <c r="C76">
        <v>23.97214</v>
      </c>
      <c r="D76">
        <v>10.747150999999999</v>
      </c>
      <c r="E76">
        <v>12.663600000000001</v>
      </c>
      <c r="F76">
        <v>61.724400000000003</v>
      </c>
      <c r="G76">
        <v>0</v>
      </c>
      <c r="H76">
        <f t="shared" si="6"/>
        <v>0.16520221930432299</v>
      </c>
      <c r="I76">
        <f t="shared" si="7"/>
        <v>0.54120688002475814</v>
      </c>
      <c r="J76">
        <f t="shared" si="8"/>
        <v>1</v>
      </c>
      <c r="K76">
        <f t="shared" si="11"/>
        <v>1</v>
      </c>
      <c r="L76">
        <f t="shared" si="9"/>
        <v>0.45879311997524186</v>
      </c>
      <c r="M76">
        <f t="shared" si="10"/>
        <v>0.77915588953412285</v>
      </c>
    </row>
    <row r="77" spans="1:13" x14ac:dyDescent="0.3">
      <c r="A77">
        <v>72</v>
      </c>
      <c r="B77">
        <v>18.136849999999999</v>
      </c>
      <c r="C77">
        <v>42.192910000000005</v>
      </c>
      <c r="D77">
        <v>10.350371000000001</v>
      </c>
      <c r="E77">
        <v>3.7098</v>
      </c>
      <c r="F77">
        <v>46.815300000000001</v>
      </c>
      <c r="G77">
        <v>1</v>
      </c>
      <c r="H77">
        <f t="shared" si="6"/>
        <v>2.2964283625644191</v>
      </c>
      <c r="I77">
        <f t="shared" si="7"/>
        <v>0.90858080522610019</v>
      </c>
      <c r="J77">
        <f t="shared" si="8"/>
        <v>1</v>
      </c>
      <c r="K77">
        <f t="shared" si="11"/>
        <v>0</v>
      </c>
      <c r="L77">
        <f t="shared" si="9"/>
        <v>0.90858080522610019</v>
      </c>
      <c r="M77">
        <f t="shared" si="10"/>
        <v>9.5871451539129737E-2</v>
      </c>
    </row>
    <row r="78" spans="1:13" x14ac:dyDescent="0.3">
      <c r="A78">
        <v>73</v>
      </c>
      <c r="B78">
        <v>44.603200000000001</v>
      </c>
      <c r="C78">
        <v>24.625837999999998</v>
      </c>
      <c r="D78">
        <v>22.360833</v>
      </c>
      <c r="E78">
        <v>2.0908000000000002</v>
      </c>
      <c r="F78">
        <v>29.316199999999998</v>
      </c>
      <c r="G78">
        <v>1</v>
      </c>
      <c r="H78">
        <f t="shared" si="6"/>
        <v>0.81527437513007328</v>
      </c>
      <c r="I78">
        <f t="shared" si="7"/>
        <v>0.69323230138503245</v>
      </c>
      <c r="J78">
        <f t="shared" si="8"/>
        <v>1</v>
      </c>
      <c r="K78">
        <f t="shared" si="11"/>
        <v>0</v>
      </c>
      <c r="L78">
        <f t="shared" si="9"/>
        <v>0.69323230138503245</v>
      </c>
      <c r="M78">
        <f t="shared" si="10"/>
        <v>0.36639012472915405</v>
      </c>
    </row>
    <row r="79" spans="1:13" x14ac:dyDescent="0.3">
      <c r="A79">
        <v>74</v>
      </c>
      <c r="B79">
        <v>78.210999999999999</v>
      </c>
      <c r="C79">
        <v>10.045872000000001</v>
      </c>
      <c r="D79">
        <v>23.183485999999998</v>
      </c>
      <c r="E79">
        <v>5.5045999999999999</v>
      </c>
      <c r="F79">
        <v>51.752299999999998</v>
      </c>
      <c r="G79">
        <v>1</v>
      </c>
      <c r="H79">
        <f t="shared" si="6"/>
        <v>4.6323972113179401E-2</v>
      </c>
      <c r="I79">
        <f t="shared" si="7"/>
        <v>0.51157892249150461</v>
      </c>
      <c r="J79">
        <f t="shared" si="8"/>
        <v>1</v>
      </c>
      <c r="K79">
        <f t="shared" si="11"/>
        <v>0</v>
      </c>
      <c r="L79">
        <f t="shared" si="9"/>
        <v>0.51157892249150461</v>
      </c>
      <c r="M79">
        <f t="shared" si="10"/>
        <v>0.67025340932181132</v>
      </c>
    </row>
    <row r="80" spans="1:13" x14ac:dyDescent="0.3">
      <c r="A80">
        <v>75</v>
      </c>
      <c r="B80">
        <v>422.89620000000002</v>
      </c>
      <c r="C80">
        <v>31.747116999999999</v>
      </c>
      <c r="D80">
        <v>11.610423000000001</v>
      </c>
      <c r="E80">
        <v>76.035799999999995</v>
      </c>
      <c r="F80">
        <v>233.4579</v>
      </c>
      <c r="G80">
        <v>0</v>
      </c>
      <c r="H80">
        <f t="shared" si="6"/>
        <v>-7.4530722814833723</v>
      </c>
      <c r="I80">
        <f t="shared" si="7"/>
        <v>5.793221924313475E-4</v>
      </c>
      <c r="J80">
        <f t="shared" si="8"/>
        <v>0</v>
      </c>
      <c r="K80">
        <f t="shared" si="11"/>
        <v>0</v>
      </c>
      <c r="L80">
        <f t="shared" si="9"/>
        <v>0.9994206778075686</v>
      </c>
      <c r="M80">
        <f t="shared" si="10"/>
        <v>5.7949006437047661E-4</v>
      </c>
    </row>
    <row r="81" spans="1:13" x14ac:dyDescent="0.3">
      <c r="A81">
        <v>76</v>
      </c>
      <c r="B81">
        <v>189.78100000000001</v>
      </c>
      <c r="C81">
        <v>35.808132999999998</v>
      </c>
      <c r="D81">
        <v>12.294056000000001</v>
      </c>
      <c r="E81">
        <v>135.55779999999999</v>
      </c>
      <c r="F81">
        <v>170.464</v>
      </c>
      <c r="G81">
        <v>0</v>
      </c>
      <c r="H81">
        <f t="shared" si="6"/>
        <v>-3.2142574033621187</v>
      </c>
      <c r="I81">
        <f t="shared" si="7"/>
        <v>3.8632702619158951E-2</v>
      </c>
      <c r="J81">
        <f t="shared" si="8"/>
        <v>0</v>
      </c>
      <c r="K81">
        <f t="shared" si="11"/>
        <v>0</v>
      </c>
      <c r="L81">
        <f t="shared" si="9"/>
        <v>0.96136729738084103</v>
      </c>
      <c r="M81">
        <f t="shared" si="10"/>
        <v>3.9398739722996047E-2</v>
      </c>
    </row>
    <row r="82" spans="1:13" x14ac:dyDescent="0.3">
      <c r="A82">
        <v>77</v>
      </c>
      <c r="B82">
        <v>267.40940000000001</v>
      </c>
      <c r="C82">
        <v>43.604457000000004</v>
      </c>
      <c r="D82">
        <v>6.1782730000000008</v>
      </c>
      <c r="E82">
        <v>135.9332</v>
      </c>
      <c r="F82">
        <v>206.05850000000001</v>
      </c>
      <c r="G82">
        <v>0</v>
      </c>
      <c r="H82">
        <f t="shared" si="6"/>
        <v>-4.3987461957336702</v>
      </c>
      <c r="I82">
        <f t="shared" si="7"/>
        <v>1.2143466427225044E-2</v>
      </c>
      <c r="J82">
        <f t="shared" si="8"/>
        <v>0</v>
      </c>
      <c r="K82">
        <f t="shared" si="11"/>
        <v>0</v>
      </c>
      <c r="L82">
        <f t="shared" si="9"/>
        <v>0.98785653357277492</v>
      </c>
      <c r="M82">
        <f t="shared" si="10"/>
        <v>1.2217800712545617E-2</v>
      </c>
    </row>
    <row r="83" spans="1:13" x14ac:dyDescent="0.3">
      <c r="A83">
        <v>78</v>
      </c>
      <c r="B83">
        <v>660.63639999999998</v>
      </c>
      <c r="C83">
        <v>38.904634999999999</v>
      </c>
      <c r="D83">
        <v>12.255158</v>
      </c>
      <c r="E83">
        <v>52.7104</v>
      </c>
      <c r="F83">
        <v>220.9068</v>
      </c>
      <c r="G83">
        <v>0</v>
      </c>
      <c r="H83">
        <f t="shared" si="6"/>
        <v>-12.105381185915196</v>
      </c>
      <c r="I83">
        <f t="shared" si="7"/>
        <v>5.5296462398144833E-6</v>
      </c>
      <c r="J83">
        <f t="shared" si="8"/>
        <v>0</v>
      </c>
      <c r="K83">
        <f t="shared" si="11"/>
        <v>0</v>
      </c>
      <c r="L83">
        <f t="shared" si="9"/>
        <v>0.99999447035376021</v>
      </c>
      <c r="M83">
        <f t="shared" si="10"/>
        <v>5.5296615283381508E-6</v>
      </c>
    </row>
    <row r="84" spans="1:13" x14ac:dyDescent="0.3">
      <c r="A84">
        <v>79</v>
      </c>
      <c r="B84">
        <v>238.983</v>
      </c>
      <c r="C84">
        <v>31.110168999999999</v>
      </c>
      <c r="D84">
        <v>34.546610000000001</v>
      </c>
      <c r="E84">
        <v>83.898399999999995</v>
      </c>
      <c r="F84">
        <v>154.661</v>
      </c>
      <c r="G84">
        <v>0</v>
      </c>
      <c r="H84">
        <f t="shared" si="6"/>
        <v>-5.7239099714523292</v>
      </c>
      <c r="I84">
        <f t="shared" si="7"/>
        <v>3.2562744005109265E-3</v>
      </c>
      <c r="J84">
        <f t="shared" si="8"/>
        <v>0</v>
      </c>
      <c r="K84">
        <f t="shared" si="11"/>
        <v>0</v>
      </c>
      <c r="L84">
        <f t="shared" si="9"/>
        <v>0.99674372559948909</v>
      </c>
      <c r="M84">
        <f t="shared" si="10"/>
        <v>3.2615875992873691E-3</v>
      </c>
    </row>
    <row r="85" spans="1:13" x14ac:dyDescent="0.3">
      <c r="A85">
        <v>80</v>
      </c>
      <c r="B85">
        <v>66.736199999999997</v>
      </c>
      <c r="C85">
        <v>69.739311999999998</v>
      </c>
      <c r="D85">
        <v>16.05376</v>
      </c>
      <c r="E85">
        <v>21.3186</v>
      </c>
      <c r="F85">
        <v>106.10299999999999</v>
      </c>
      <c r="G85">
        <v>0</v>
      </c>
      <c r="H85">
        <f t="shared" si="6"/>
        <v>0.12192630046658692</v>
      </c>
      <c r="I85">
        <f t="shared" si="7"/>
        <v>0.53044386951979738</v>
      </c>
      <c r="J85">
        <f t="shared" si="8"/>
        <v>1</v>
      </c>
      <c r="K85">
        <f t="shared" si="11"/>
        <v>1</v>
      </c>
      <c r="L85">
        <f t="shared" si="9"/>
        <v>0.46955613048020262</v>
      </c>
      <c r="M85">
        <f t="shared" si="10"/>
        <v>0.75596743374134734</v>
      </c>
    </row>
    <row r="86" spans="1:13" x14ac:dyDescent="0.3">
      <c r="A86">
        <v>81</v>
      </c>
      <c r="B86">
        <v>57.906399999999998</v>
      </c>
      <c r="C86">
        <v>63.747216000000002</v>
      </c>
      <c r="D86">
        <v>17.934297999999998</v>
      </c>
      <c r="E86">
        <v>26.725999999999999</v>
      </c>
      <c r="F86">
        <v>60.634700000000002</v>
      </c>
      <c r="G86">
        <v>0</v>
      </c>
      <c r="H86">
        <f t="shared" si="6"/>
        <v>0.28097604588935265</v>
      </c>
      <c r="I86">
        <f t="shared" si="7"/>
        <v>0.56978549833159065</v>
      </c>
      <c r="J86">
        <f t="shared" si="8"/>
        <v>1</v>
      </c>
      <c r="K86">
        <f t="shared" si="11"/>
        <v>1</v>
      </c>
      <c r="L86">
        <f t="shared" si="9"/>
        <v>0.43021450166840935</v>
      </c>
      <c r="M86">
        <f t="shared" si="10"/>
        <v>0.84347135358505898</v>
      </c>
    </row>
    <row r="87" spans="1:13" x14ac:dyDescent="0.3">
      <c r="A87">
        <v>82</v>
      </c>
      <c r="B87">
        <v>220.82634999999999</v>
      </c>
      <c r="C87">
        <v>17.761026999999999</v>
      </c>
      <c r="D87">
        <v>3.0764940000000003</v>
      </c>
      <c r="E87">
        <v>217.75540000000001</v>
      </c>
      <c r="F87">
        <v>235.73929999999999</v>
      </c>
      <c r="G87">
        <v>1</v>
      </c>
      <c r="H87">
        <f t="shared" si="6"/>
        <v>-3.9365645222467833</v>
      </c>
      <c r="I87">
        <f t="shared" si="7"/>
        <v>1.9141592626890976E-2</v>
      </c>
      <c r="J87">
        <f t="shared" si="8"/>
        <v>0</v>
      </c>
      <c r="K87">
        <f t="shared" si="11"/>
        <v>1</v>
      </c>
      <c r="L87">
        <f t="shared" si="9"/>
        <v>1.9141592626890976E-2</v>
      </c>
      <c r="M87">
        <f t="shared" si="10"/>
        <v>3.9558916870725884</v>
      </c>
    </row>
    <row r="88" spans="1:13" x14ac:dyDescent="0.3">
      <c r="A88">
        <v>83</v>
      </c>
      <c r="B88">
        <v>37.339750000000002</v>
      </c>
      <c r="C88">
        <v>40.123891999999998</v>
      </c>
      <c r="D88">
        <v>30.374258000000001</v>
      </c>
      <c r="E88">
        <v>20.648700000000002</v>
      </c>
      <c r="F88">
        <v>167.63120000000001</v>
      </c>
      <c r="G88">
        <v>1</v>
      </c>
      <c r="H88">
        <f t="shared" si="6"/>
        <v>-0.66329872082129704</v>
      </c>
      <c r="I88">
        <f t="shared" si="7"/>
        <v>0.33999898943529239</v>
      </c>
      <c r="J88">
        <f t="shared" si="8"/>
        <v>0</v>
      </c>
      <c r="K88">
        <f t="shared" si="11"/>
        <v>1</v>
      </c>
      <c r="L88">
        <f t="shared" si="9"/>
        <v>0.33999898943529239</v>
      </c>
      <c r="M88">
        <f t="shared" si="10"/>
        <v>1.0788126336254871</v>
      </c>
    </row>
    <row r="89" spans="1:13" x14ac:dyDescent="0.3">
      <c r="A89">
        <v>84</v>
      </c>
      <c r="B89">
        <v>14.473699999999999</v>
      </c>
      <c r="C89">
        <v>140.934211</v>
      </c>
      <c r="D89">
        <v>9.3421050000000001</v>
      </c>
      <c r="E89">
        <v>3.0701999999999998</v>
      </c>
      <c r="F89">
        <v>37.596499999999999</v>
      </c>
      <c r="G89">
        <v>1</v>
      </c>
      <c r="H89">
        <f t="shared" si="6"/>
        <v>1.7267637651591241</v>
      </c>
      <c r="I89">
        <f t="shared" si="7"/>
        <v>0.84899800209267617</v>
      </c>
      <c r="J89">
        <f t="shared" si="8"/>
        <v>1</v>
      </c>
      <c r="K89">
        <f t="shared" si="11"/>
        <v>0</v>
      </c>
      <c r="L89">
        <f t="shared" si="9"/>
        <v>0.84899800209267617</v>
      </c>
      <c r="M89">
        <f t="shared" si="10"/>
        <v>0.16369844592128988</v>
      </c>
    </row>
    <row r="90" spans="1:13" x14ac:dyDescent="0.3">
      <c r="A90">
        <v>85</v>
      </c>
      <c r="B90">
        <v>1269.2434000000001</v>
      </c>
      <c r="C90">
        <v>18.659200999999999</v>
      </c>
      <c r="D90">
        <v>10.154643</v>
      </c>
      <c r="E90">
        <v>107.2208</v>
      </c>
      <c r="F90">
        <v>246.0558</v>
      </c>
      <c r="G90">
        <v>0</v>
      </c>
      <c r="H90">
        <f t="shared" si="6"/>
        <v>-24.788001609878613</v>
      </c>
      <c r="I90">
        <f t="shared" si="7"/>
        <v>1.7167524798816272E-11</v>
      </c>
      <c r="J90">
        <f t="shared" si="8"/>
        <v>0</v>
      </c>
      <c r="K90">
        <f t="shared" si="11"/>
        <v>0</v>
      </c>
      <c r="L90">
        <f t="shared" si="9"/>
        <v>0.99999999998283251</v>
      </c>
      <c r="M90">
        <f t="shared" si="10"/>
        <v>1.7167489652228619E-11</v>
      </c>
    </row>
    <row r="91" spans="1:13" x14ac:dyDescent="0.3">
      <c r="A91">
        <v>86</v>
      </c>
      <c r="B91">
        <v>192.02699999999999</v>
      </c>
      <c r="C91">
        <v>30.881527000000002</v>
      </c>
      <c r="D91">
        <v>24.188658</v>
      </c>
      <c r="E91">
        <v>59.517200000000003</v>
      </c>
      <c r="F91">
        <v>100.23860000000001</v>
      </c>
      <c r="G91">
        <v>0</v>
      </c>
      <c r="H91">
        <f t="shared" si="6"/>
        <v>-3.2933474122483828</v>
      </c>
      <c r="I91">
        <f t="shared" si="7"/>
        <v>3.5800118616198695E-2</v>
      </c>
      <c r="J91">
        <f t="shared" si="8"/>
        <v>0</v>
      </c>
      <c r="K91">
        <f t="shared" si="11"/>
        <v>0</v>
      </c>
      <c r="L91">
        <f t="shared" si="9"/>
        <v>0.9641998813838013</v>
      </c>
      <c r="M91">
        <f t="shared" si="10"/>
        <v>3.6456660030949092E-2</v>
      </c>
    </row>
    <row r="92" spans="1:13" x14ac:dyDescent="0.3">
      <c r="A92">
        <v>87</v>
      </c>
      <c r="B92">
        <v>220.07239999999999</v>
      </c>
      <c r="C92">
        <v>14.933961</v>
      </c>
      <c r="D92">
        <v>13.052915</v>
      </c>
      <c r="E92">
        <v>38.361199999999997</v>
      </c>
      <c r="F92">
        <v>125.27760000000001</v>
      </c>
      <c r="G92">
        <v>0</v>
      </c>
      <c r="H92">
        <f t="shared" si="6"/>
        <v>-2.5229907131083955</v>
      </c>
      <c r="I92">
        <f t="shared" si="7"/>
        <v>7.4262079977214998E-2</v>
      </c>
      <c r="J92">
        <f t="shared" si="8"/>
        <v>0</v>
      </c>
      <c r="K92">
        <f t="shared" si="11"/>
        <v>0</v>
      </c>
      <c r="L92">
        <f t="shared" si="9"/>
        <v>0.92573792002278499</v>
      </c>
      <c r="M92">
        <f t="shared" si="10"/>
        <v>7.7164108128226633E-2</v>
      </c>
    </row>
    <row r="95" spans="1:13" x14ac:dyDescent="0.3">
      <c r="A95" s="3" t="s">
        <v>21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13" x14ac:dyDescent="0.3">
      <c r="A96" s="2" t="s">
        <v>0</v>
      </c>
      <c r="B96" s="2" t="s">
        <v>2</v>
      </c>
      <c r="C96" s="2" t="s">
        <v>3</v>
      </c>
      <c r="D96" s="2" t="s">
        <v>4</v>
      </c>
      <c r="E96" s="2" t="s">
        <v>5</v>
      </c>
      <c r="F96" s="2" t="s">
        <v>6</v>
      </c>
      <c r="G96" s="2"/>
      <c r="H96" s="2" t="s">
        <v>7</v>
      </c>
      <c r="I96" s="2" t="s">
        <v>8</v>
      </c>
      <c r="J96" s="2" t="s">
        <v>15</v>
      </c>
      <c r="K96" s="2"/>
      <c r="L96" s="2"/>
      <c r="M96" s="2"/>
    </row>
    <row r="97" spans="1:10" x14ac:dyDescent="0.3">
      <c r="A97">
        <v>1</v>
      </c>
      <c r="B97">
        <v>23.1</v>
      </c>
      <c r="C97">
        <v>45.6</v>
      </c>
      <c r="D97">
        <v>16.3</v>
      </c>
      <c r="E97">
        <v>77.900000000000006</v>
      </c>
      <c r="F97">
        <v>250.5</v>
      </c>
      <c r="H97">
        <f>SUMPRODUCT($B$4:$F$4, B97:F97) + $G$4</f>
        <v>2.0473376217170269E-2</v>
      </c>
      <c r="I97">
        <f>1/(1+EXP(0 - H97))</f>
        <v>0.50511816527839781</v>
      </c>
      <c r="J97">
        <f>IF(I97 &gt; 0.5, 1, 0)</f>
        <v>1</v>
      </c>
    </row>
    <row r="98" spans="1:10" x14ac:dyDescent="0.3">
      <c r="A98">
        <v>2</v>
      </c>
      <c r="B98">
        <v>508.4</v>
      </c>
      <c r="C98">
        <v>31.9</v>
      </c>
      <c r="D98">
        <v>16.2</v>
      </c>
      <c r="E98">
        <v>24.3</v>
      </c>
      <c r="F98">
        <v>45.5</v>
      </c>
      <c r="H98">
        <f t="shared" ref="H98:H101" si="12">SUMPRODUCT($B$4:$F$4, B98:F98) + $G$4</f>
        <v>-8.3681688273666666</v>
      </c>
      <c r="I98">
        <f t="shared" ref="I98:I101" si="13">1/(1+EXP(0 - H98))</f>
        <v>2.3208637705912587E-4</v>
      </c>
      <c r="J98">
        <f t="shared" ref="J98:J101" si="14">IF(I98 &gt; 0.5, 1, 0)</f>
        <v>0</v>
      </c>
    </row>
    <row r="99" spans="1:10" x14ac:dyDescent="0.3">
      <c r="A99">
        <v>3</v>
      </c>
      <c r="B99">
        <v>86.1</v>
      </c>
      <c r="C99">
        <v>59</v>
      </c>
      <c r="D99">
        <v>18.5</v>
      </c>
      <c r="E99">
        <v>59.3</v>
      </c>
      <c r="F99">
        <v>483.8</v>
      </c>
      <c r="H99">
        <f t="shared" si="12"/>
        <v>-2.2666143011981017</v>
      </c>
      <c r="I99">
        <f t="shared" si="13"/>
        <v>9.3925952428426607E-2</v>
      </c>
      <c r="J99">
        <f t="shared" si="14"/>
        <v>0</v>
      </c>
    </row>
    <row r="100" spans="1:10" x14ac:dyDescent="0.3">
      <c r="A100">
        <v>4</v>
      </c>
      <c r="B100">
        <v>8</v>
      </c>
      <c r="C100">
        <v>67.2</v>
      </c>
      <c r="D100">
        <v>51.2</v>
      </c>
      <c r="E100">
        <v>191.4</v>
      </c>
      <c r="F100">
        <v>80.2</v>
      </c>
      <c r="H100">
        <f t="shared" si="12"/>
        <v>-3.8053377913510875</v>
      </c>
      <c r="I100">
        <f t="shared" si="13"/>
        <v>2.1767320042998497E-2</v>
      </c>
      <c r="J100">
        <f t="shared" si="14"/>
        <v>0</v>
      </c>
    </row>
    <row r="101" spans="1:10" x14ac:dyDescent="0.3">
      <c r="A101">
        <v>5</v>
      </c>
      <c r="B101">
        <v>55.5</v>
      </c>
      <c r="C101">
        <v>97.5</v>
      </c>
      <c r="D101">
        <v>8.8000000000000007</v>
      </c>
      <c r="E101">
        <v>28.2</v>
      </c>
      <c r="F101">
        <v>72.2</v>
      </c>
      <c r="H101">
        <f t="shared" si="12"/>
        <v>0.88944298286728163</v>
      </c>
      <c r="I101">
        <f t="shared" si="13"/>
        <v>0.70877521041006886</v>
      </c>
      <c r="J101">
        <f t="shared" si="14"/>
        <v>1</v>
      </c>
    </row>
  </sheetData>
  <mergeCells count="1">
    <mergeCell ref="A95:M95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F3D44B-1374-41AC-86DB-AC1243DE12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2025-11-25T14:10:28Z</dcterms:modified>
</cp:coreProperties>
</file>