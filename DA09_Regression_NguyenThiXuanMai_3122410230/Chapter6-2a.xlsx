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Data Analysis\DataAnalysis_25_26\DA09\"/>
    </mc:Choice>
  </mc:AlternateContent>
  <xr:revisionPtr revIDLastSave="0" documentId="13_ncr:1_{FE9C427C-8475-4F43-93B9-159F8957F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3" l="1"/>
  <c r="I92" i="3" s="1"/>
  <c r="H91" i="3"/>
  <c r="I91" i="3" s="1"/>
  <c r="H90" i="3"/>
  <c r="I90" i="3" s="1"/>
  <c r="L90" i="3" s="1"/>
  <c r="M90" i="3" s="1"/>
  <c r="H89" i="3"/>
  <c r="I89" i="3" s="1"/>
  <c r="H88" i="3"/>
  <c r="I88" i="3" s="1"/>
  <c r="L88" i="3" s="1"/>
  <c r="M88" i="3" s="1"/>
  <c r="H87" i="3"/>
  <c r="I87" i="3" s="1"/>
  <c r="H86" i="3"/>
  <c r="I86" i="3" s="1"/>
  <c r="H85" i="3"/>
  <c r="I85" i="3" s="1"/>
  <c r="H84" i="3"/>
  <c r="I84" i="3" s="1"/>
  <c r="L84" i="3" s="1"/>
  <c r="M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L78" i="3" s="1"/>
  <c r="M78" i="3" s="1"/>
  <c r="H77" i="3"/>
  <c r="I77" i="3" s="1"/>
  <c r="H76" i="3"/>
  <c r="I76" i="3" s="1"/>
  <c r="L76" i="3" s="1"/>
  <c r="M76" i="3" s="1"/>
  <c r="H75" i="3"/>
  <c r="I75" i="3" s="1"/>
  <c r="H74" i="3"/>
  <c r="I74" i="3" s="1"/>
  <c r="H73" i="3"/>
  <c r="I73" i="3" s="1"/>
  <c r="H72" i="3"/>
  <c r="I72" i="3" s="1"/>
  <c r="L72" i="3" s="1"/>
  <c r="M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L66" i="3" s="1"/>
  <c r="M66" i="3" s="1"/>
  <c r="H65" i="3"/>
  <c r="I65" i="3" s="1"/>
  <c r="H64" i="3"/>
  <c r="I64" i="3" s="1"/>
  <c r="L64" i="3" s="1"/>
  <c r="M64" i="3" s="1"/>
  <c r="H63" i="3"/>
  <c r="I63" i="3" s="1"/>
  <c r="H62" i="3"/>
  <c r="I62" i="3" s="1"/>
  <c r="H61" i="3"/>
  <c r="I61" i="3" s="1"/>
  <c r="H60" i="3"/>
  <c r="I60" i="3" s="1"/>
  <c r="L60" i="3" s="1"/>
  <c r="M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L54" i="3" s="1"/>
  <c r="M54" i="3" s="1"/>
  <c r="H53" i="3"/>
  <c r="I53" i="3" s="1"/>
  <c r="H52" i="3"/>
  <c r="I52" i="3" s="1"/>
  <c r="L52" i="3" s="1"/>
  <c r="M52" i="3" s="1"/>
  <c r="H51" i="3"/>
  <c r="I51" i="3" s="1"/>
  <c r="H50" i="3"/>
  <c r="I50" i="3" s="1"/>
  <c r="H49" i="3"/>
  <c r="I49" i="3" s="1"/>
  <c r="H48" i="3"/>
  <c r="I48" i="3" s="1"/>
  <c r="J48" i="3" s="1"/>
  <c r="K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L42" i="3" s="1"/>
  <c r="M42" i="3" s="1"/>
  <c r="H41" i="3"/>
  <c r="I41" i="3" s="1"/>
  <c r="H40" i="3"/>
  <c r="I40" i="3" s="1"/>
  <c r="L40" i="3" s="1"/>
  <c r="M40" i="3" s="1"/>
  <c r="H39" i="3"/>
  <c r="I39" i="3" s="1"/>
  <c r="H38" i="3"/>
  <c r="I38" i="3" s="1"/>
  <c r="H37" i="3"/>
  <c r="I37" i="3" s="1"/>
  <c r="H36" i="3"/>
  <c r="I36" i="3" s="1"/>
  <c r="J36" i="3" s="1"/>
  <c r="K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L30" i="3" s="1"/>
  <c r="M30" i="3" s="1"/>
  <c r="H29" i="3"/>
  <c r="I29" i="3" s="1"/>
  <c r="H28" i="3"/>
  <c r="I28" i="3" s="1"/>
  <c r="L28" i="3" s="1"/>
  <c r="M28" i="3" s="1"/>
  <c r="H27" i="3"/>
  <c r="I27" i="3" s="1"/>
  <c r="H26" i="3"/>
  <c r="I26" i="3" s="1"/>
  <c r="H25" i="3"/>
  <c r="I25" i="3" s="1"/>
  <c r="H24" i="3"/>
  <c r="I24" i="3" s="1"/>
  <c r="L24" i="3" s="1"/>
  <c r="M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L18" i="3" s="1"/>
  <c r="M18" i="3" s="1"/>
  <c r="H17" i="3"/>
  <c r="I17" i="3" s="1"/>
  <c r="H16" i="3"/>
  <c r="I16" i="3" s="1"/>
  <c r="L16" i="3" s="1"/>
  <c r="M16" i="3" s="1"/>
  <c r="H15" i="3"/>
  <c r="I15" i="3" s="1"/>
  <c r="H14" i="3"/>
  <c r="I14" i="3" s="1"/>
  <c r="H13" i="3"/>
  <c r="I13" i="3" s="1"/>
  <c r="H12" i="3"/>
  <c r="I12" i="3" s="1"/>
  <c r="J12" i="3" s="1"/>
  <c r="K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L6" i="3" s="1"/>
  <c r="M6" i="3" s="1"/>
  <c r="G3" i="3"/>
  <c r="F3" i="3"/>
  <c r="E3" i="3"/>
  <c r="D3" i="3"/>
  <c r="C3" i="3"/>
  <c r="B3" i="3"/>
  <c r="L7" i="3" l="1"/>
  <c r="M7" i="3" s="1"/>
  <c r="J7" i="3"/>
  <c r="K7" i="3" s="1"/>
  <c r="L19" i="3"/>
  <c r="M19" i="3" s="1"/>
  <c r="J19" i="3"/>
  <c r="K19" i="3" s="1"/>
  <c r="L31" i="3"/>
  <c r="M31" i="3" s="1"/>
  <c r="J31" i="3"/>
  <c r="K31" i="3" s="1"/>
  <c r="L79" i="3"/>
  <c r="M79" i="3" s="1"/>
  <c r="J79" i="3"/>
  <c r="K79" i="3" s="1"/>
  <c r="J43" i="3"/>
  <c r="K43" i="3" s="1"/>
  <c r="L43" i="3"/>
  <c r="M43" i="3" s="1"/>
  <c r="L55" i="3"/>
  <c r="M55" i="3" s="1"/>
  <c r="J55" i="3"/>
  <c r="K55" i="3" s="1"/>
  <c r="L67" i="3"/>
  <c r="M67" i="3" s="1"/>
  <c r="J67" i="3"/>
  <c r="K67" i="3" s="1"/>
  <c r="J13" i="3"/>
  <c r="K13" i="3" s="1"/>
  <c r="L13" i="3"/>
  <c r="M13" i="3" s="1"/>
  <c r="L37" i="3"/>
  <c r="M37" i="3" s="1"/>
  <c r="J37" i="3"/>
  <c r="K37" i="3" s="1"/>
  <c r="J14" i="3"/>
  <c r="K14" i="3" s="1"/>
  <c r="L14" i="3"/>
  <c r="M14" i="3" s="1"/>
  <c r="L47" i="3"/>
  <c r="M47" i="3" s="1"/>
  <c r="J47" i="3"/>
  <c r="K47" i="3" s="1"/>
  <c r="L29" i="3"/>
  <c r="M29" i="3" s="1"/>
  <c r="J29" i="3"/>
  <c r="K29" i="3" s="1"/>
  <c r="L77" i="3"/>
  <c r="M77" i="3" s="1"/>
  <c r="J77" i="3"/>
  <c r="K77" i="3" s="1"/>
  <c r="L68" i="3"/>
  <c r="M68" i="3" s="1"/>
  <c r="J68" i="3"/>
  <c r="K68" i="3" s="1"/>
  <c r="J21" i="3"/>
  <c r="K21" i="3" s="1"/>
  <c r="L21" i="3"/>
  <c r="M21" i="3" s="1"/>
  <c r="J69" i="3"/>
  <c r="K69" i="3" s="1"/>
  <c r="L69" i="3"/>
  <c r="M69" i="3" s="1"/>
  <c r="L70" i="3"/>
  <c r="M70" i="3" s="1"/>
  <c r="J70" i="3"/>
  <c r="K70" i="3" s="1"/>
  <c r="L20" i="3"/>
  <c r="M20" i="3" s="1"/>
  <c r="J20" i="3"/>
  <c r="K20" i="3" s="1"/>
  <c r="J86" i="3"/>
  <c r="K86" i="3" s="1"/>
  <c r="L86" i="3"/>
  <c r="M86" i="3" s="1"/>
  <c r="L23" i="3"/>
  <c r="M23" i="3" s="1"/>
  <c r="J23" i="3"/>
  <c r="K23" i="3" s="1"/>
  <c r="J65" i="3"/>
  <c r="K65" i="3" s="1"/>
  <c r="L65" i="3"/>
  <c r="M65" i="3" s="1"/>
  <c r="L89" i="3"/>
  <c r="M89" i="3" s="1"/>
  <c r="J89" i="3"/>
  <c r="K89" i="3" s="1"/>
  <c r="L46" i="3"/>
  <c r="M46" i="3" s="1"/>
  <c r="J46" i="3"/>
  <c r="K46" i="3" s="1"/>
  <c r="L56" i="3"/>
  <c r="M56" i="3" s="1"/>
  <c r="J56" i="3"/>
  <c r="K56" i="3" s="1"/>
  <c r="L80" i="3"/>
  <c r="M80" i="3" s="1"/>
  <c r="J80" i="3"/>
  <c r="K80" i="3" s="1"/>
  <c r="J38" i="3"/>
  <c r="K38" i="3" s="1"/>
  <c r="L38" i="3"/>
  <c r="M38" i="3" s="1"/>
  <c r="L22" i="3"/>
  <c r="M22" i="3" s="1"/>
  <c r="J22" i="3"/>
  <c r="K22" i="3" s="1"/>
  <c r="L39" i="3"/>
  <c r="M39" i="3" s="1"/>
  <c r="J39" i="3"/>
  <c r="K39" i="3" s="1"/>
  <c r="L71" i="3"/>
  <c r="M71" i="3" s="1"/>
  <c r="J71" i="3"/>
  <c r="K71" i="3" s="1"/>
  <c r="J25" i="3"/>
  <c r="K25" i="3" s="1"/>
  <c r="L25" i="3"/>
  <c r="M25" i="3" s="1"/>
  <c r="L49" i="3"/>
  <c r="M49" i="3" s="1"/>
  <c r="J49" i="3"/>
  <c r="K49" i="3" s="1"/>
  <c r="J26" i="3"/>
  <c r="K26" i="3" s="1"/>
  <c r="L26" i="3"/>
  <c r="M26" i="3" s="1"/>
  <c r="J50" i="3"/>
  <c r="K50" i="3" s="1"/>
  <c r="L50" i="3"/>
  <c r="M50" i="3" s="1"/>
  <c r="J81" i="3"/>
  <c r="K81" i="3" s="1"/>
  <c r="L81" i="3"/>
  <c r="M81" i="3" s="1"/>
  <c r="L61" i="3"/>
  <c r="M61" i="3" s="1"/>
  <c r="J61" i="3"/>
  <c r="K61" i="3" s="1"/>
  <c r="J62" i="3"/>
  <c r="K62" i="3" s="1"/>
  <c r="L62" i="3"/>
  <c r="M62" i="3" s="1"/>
  <c r="L63" i="3"/>
  <c r="M63" i="3" s="1"/>
  <c r="J63" i="3"/>
  <c r="K63" i="3" s="1"/>
  <c r="J17" i="3"/>
  <c r="K17" i="3" s="1"/>
  <c r="L17" i="3"/>
  <c r="M17" i="3" s="1"/>
  <c r="L8" i="3"/>
  <c r="M8" i="3" s="1"/>
  <c r="J8" i="3"/>
  <c r="K8" i="3" s="1"/>
  <c r="J33" i="3"/>
  <c r="K33" i="3" s="1"/>
  <c r="L33" i="3"/>
  <c r="M33" i="3" s="1"/>
  <c r="J74" i="3"/>
  <c r="K74" i="3" s="1"/>
  <c r="L74" i="3"/>
  <c r="M74" i="3" s="1"/>
  <c r="L75" i="3"/>
  <c r="M75" i="3" s="1"/>
  <c r="J75" i="3"/>
  <c r="K75" i="3" s="1"/>
  <c r="L91" i="3"/>
  <c r="M91" i="3" s="1"/>
  <c r="J91" i="3"/>
  <c r="K91" i="3" s="1"/>
  <c r="J53" i="3"/>
  <c r="K53" i="3" s="1"/>
  <c r="L53" i="3"/>
  <c r="M53" i="3" s="1"/>
  <c r="L44" i="3"/>
  <c r="M44" i="3" s="1"/>
  <c r="J44" i="3"/>
  <c r="K44" i="3" s="1"/>
  <c r="L85" i="3"/>
  <c r="M85" i="3" s="1"/>
  <c r="J85" i="3"/>
  <c r="K85" i="3" s="1"/>
  <c r="J45" i="3"/>
  <c r="K45" i="3" s="1"/>
  <c r="L45" i="3"/>
  <c r="M45" i="3" s="1"/>
  <c r="L15" i="3"/>
  <c r="M15" i="3" s="1"/>
  <c r="J15" i="3"/>
  <c r="K15" i="3" s="1"/>
  <c r="L87" i="3"/>
  <c r="M87" i="3" s="1"/>
  <c r="J87" i="3"/>
  <c r="K87" i="3" s="1"/>
  <c r="J41" i="3"/>
  <c r="K41" i="3" s="1"/>
  <c r="L41" i="3"/>
  <c r="M41" i="3" s="1"/>
  <c r="L32" i="3"/>
  <c r="M32" i="3" s="1"/>
  <c r="J32" i="3"/>
  <c r="K32" i="3" s="1"/>
  <c r="L73" i="3"/>
  <c r="M73" i="3" s="1"/>
  <c r="J73" i="3"/>
  <c r="K73" i="3" s="1"/>
  <c r="J9" i="3"/>
  <c r="K9" i="3" s="1"/>
  <c r="L9" i="3"/>
  <c r="M9" i="3" s="1"/>
  <c r="J57" i="3"/>
  <c r="K57" i="3" s="1"/>
  <c r="L57" i="3"/>
  <c r="M57" i="3" s="1"/>
  <c r="L10" i="3"/>
  <c r="M10" i="3" s="1"/>
  <c r="J10" i="3"/>
  <c r="K10" i="3" s="1"/>
  <c r="L27" i="3"/>
  <c r="M27" i="3" s="1"/>
  <c r="J27" i="3"/>
  <c r="K27" i="3" s="1"/>
  <c r="L34" i="3"/>
  <c r="M34" i="3" s="1"/>
  <c r="J34" i="3"/>
  <c r="K34" i="3" s="1"/>
  <c r="L51" i="3"/>
  <c r="M51" i="3" s="1"/>
  <c r="J51" i="3"/>
  <c r="K51" i="3" s="1"/>
  <c r="L58" i="3"/>
  <c r="M58" i="3" s="1"/>
  <c r="J58" i="3"/>
  <c r="K58" i="3" s="1"/>
  <c r="L82" i="3"/>
  <c r="M82" i="3" s="1"/>
  <c r="J82" i="3"/>
  <c r="K82" i="3" s="1"/>
  <c r="L11" i="3"/>
  <c r="M11" i="3" s="1"/>
  <c r="J11" i="3"/>
  <c r="K11" i="3" s="1"/>
  <c r="L35" i="3"/>
  <c r="M35" i="3" s="1"/>
  <c r="J35" i="3"/>
  <c r="K35" i="3" s="1"/>
  <c r="L59" i="3"/>
  <c r="M59" i="3" s="1"/>
  <c r="J59" i="3"/>
  <c r="K59" i="3" s="1"/>
  <c r="L83" i="3"/>
  <c r="M83" i="3" s="1"/>
  <c r="J83" i="3"/>
  <c r="K83" i="3" s="1"/>
  <c r="L92" i="3"/>
  <c r="M92" i="3" s="1"/>
  <c r="J92" i="3"/>
  <c r="K92" i="3" s="1"/>
  <c r="J60" i="3"/>
  <c r="K60" i="3" s="1"/>
  <c r="J72" i="3"/>
  <c r="K72" i="3" s="1"/>
  <c r="J84" i="3"/>
  <c r="K84" i="3" s="1"/>
  <c r="J24" i="3"/>
  <c r="K24" i="3" s="1"/>
  <c r="L48" i="3"/>
  <c r="M48" i="3" s="1"/>
  <c r="L12" i="3"/>
  <c r="M12" i="3" s="1"/>
  <c r="L36" i="3"/>
  <c r="M36" i="3" s="1"/>
  <c r="J6" i="3"/>
  <c r="K6" i="3" s="1"/>
  <c r="J18" i="3"/>
  <c r="K18" i="3" s="1"/>
  <c r="J30" i="3"/>
  <c r="K30" i="3" s="1"/>
  <c r="J42" i="3"/>
  <c r="K42" i="3" s="1"/>
  <c r="J54" i="3"/>
  <c r="K54" i="3" s="1"/>
  <c r="J66" i="3"/>
  <c r="K66" i="3" s="1"/>
  <c r="J78" i="3"/>
  <c r="K78" i="3" s="1"/>
  <c r="J90" i="3"/>
  <c r="K90" i="3" s="1"/>
  <c r="J16" i="3"/>
  <c r="K16" i="3" s="1"/>
  <c r="J28" i="3"/>
  <c r="K28" i="3" s="1"/>
  <c r="J40" i="3"/>
  <c r="K40" i="3" s="1"/>
  <c r="J52" i="3"/>
  <c r="K52" i="3" s="1"/>
  <c r="J64" i="3"/>
  <c r="K64" i="3" s="1"/>
  <c r="J76" i="3"/>
  <c r="K76" i="3" s="1"/>
  <c r="J88" i="3"/>
  <c r="K88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Chapter6" description="Connection to the 'Chapter6' query in the workbook." type="5" refreshedVersion="2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<sst xmlns="http://schemas.openxmlformats.org/spreadsheetml/2006/main" count="21" uniqueCount="21">
  <si>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m1</t>
  </si>
  <si>
    <t>m2</t>
  </si>
  <si>
    <t>m3</t>
  </si>
  <si>
    <t>m4</t>
  </si>
  <si>
    <t>m5</t>
  </si>
  <si>
    <t>b</t>
  </si>
  <si>
    <t>total Diff =</t>
  </si>
  <si>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</si>
  <si>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</si>
  <si>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</si>
  <si>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</si>
  <si>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</si>
  <si>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</si>
  <si>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</si>
  <si>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</si>
  <si>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>P(1)</t>
  </si>
  <si>
    <t>Outcome</t>
  </si>
  <si>
    <t>Difference</t>
  </si>
  <si>
    <t>Likelihood</t>
  </si>
  <si>
    <t>Log loss</t>
  </si>
  <si>
    <t>To-Minimize=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</si>
</sst>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M9" sqref="M9"/>
    </sheetView>
  </sheetViews>
  <sheetFormatPr defaultColWidth="9" defaultRowHeight="14.4"/>
  <cols>
    <col min="7" max="7" width="14" customWidth="1"/>
    <col min="8" max="8" width="16.109375" customWidth="1"/>
    <col min="9" max="12" width="12" customWidth="1"/>
    <col min="13" max="13" width="14.109375" customWidth="1"/>
  </cols>
  <sheetData>
    <row r="1" spans="1:1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s="2" t="s">
        <v>20</v>
      </c>
      <c r="M1">
        <f>SUM(M6:M92)</f>
        <v>28.721089329103716</v>
      </c>
    </row>
    <row r="2" spans="1:1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J2" t="s">
        <v>6</v>
      </c>
      <c r="K2">
        <f>SUM(K6:K92)</f>
        <v>12</v>
      </c>
    </row>
    <row r="3" spans="1:13">
      <c r="B3">
        <f>INDEX(LINEST($G$6:$G$92,$B$6:$F$92),1,B$1)</f>
        <v>-3.1646397523048801E-4</v>
      </c>
      <c r="C3">
        <f t="shared" ref="C3:G3" si="0">INDEX(LINEST($G$6:$G$92,$B$6:$F$92),1,C1)</f>
        <v>3.0100064130601802E-3</v>
      </c>
      <c r="D3">
        <f t="shared" si="0"/>
        <v>-5.1330433103881296E-3</v>
      </c>
      <c r="E3">
        <f t="shared" si="0"/>
        <v>-5.1011808354464695E-4</v>
      </c>
      <c r="F3">
        <f t="shared" si="0"/>
        <v>-7.4155185513976696E-4</v>
      </c>
      <c r="G3">
        <f t="shared" si="0"/>
        <v>0.53557402517470798</v>
      </c>
    </row>
    <row r="4" spans="1:13">
      <c r="B4">
        <v>-2.0319930389425801E-2</v>
      </c>
      <c r="C4">
        <v>-7.9392721686807766E-3</v>
      </c>
      <c r="D4">
        <v>-9.7139780840275969E-2</v>
      </c>
      <c r="E4">
        <v>-1.0731703184041385E-2</v>
      </c>
      <c r="F4">
        <v>-3.7996055251456897E-3</v>
      </c>
      <c r="G4">
        <v>4.2230737055313616</v>
      </c>
    </row>
    <row r="5" spans="1:1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1:1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$G$4+SUMPRODUCT($B$4:$F$4,B6:F6)</f>
        <v>-35.675130964352078</v>
      </c>
      <c r="I6">
        <f>1/(1+EXP(0-H6))</f>
        <v>3.2098702749997802E-16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1000000, -LN(L6))</f>
        <v>3.3306690738754701E-16</v>
      </c>
    </row>
    <row r="7" spans="1:1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$G$4+SUMPRODUCT($B$4:$F$4,B7:F7)</f>
        <v>-2.1260118083673669</v>
      </c>
      <c r="I7">
        <f t="shared" ref="I7:I70" si="2">1/(1+EXP(0-H7))</f>
        <v>0.10659419917496035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0.89340580082503962</v>
      </c>
      <c r="M7">
        <f t="shared" ref="M7:M70" si="6">IF(L7=0, 1000000, -LN(L7))</f>
        <v>0.11271437710888325</v>
      </c>
    </row>
    <row r="8" spans="1:13">
      <c r="A8">
        <v>3</v>
      </c>
      <c r="B8">
        <v>7.7399500000000003</v>
      </c>
      <c r="C8">
        <v>42.368420999999998</v>
      </c>
      <c r="D8">
        <v>39.907120999999997</v>
      </c>
      <c r="E8">
        <v>9.2879000000000005</v>
      </c>
      <c r="F8">
        <v>104.2632</v>
      </c>
      <c r="G8">
        <v>1</v>
      </c>
      <c r="H8">
        <f t="shared" si="1"/>
        <v>-0.64297897006132754</v>
      </c>
      <c r="I8">
        <f t="shared" si="2"/>
        <v>0.34457344993675526</v>
      </c>
      <c r="J8">
        <f t="shared" si="3"/>
        <v>0</v>
      </c>
      <c r="K8">
        <f t="shared" si="4"/>
        <v>1</v>
      </c>
      <c r="L8">
        <f t="shared" si="5"/>
        <v>0.34457344993675526</v>
      </c>
      <c r="M8">
        <f t="shared" si="6"/>
        <v>1.065448003890298</v>
      </c>
    </row>
    <row r="9" spans="1:13">
      <c r="A9">
        <v>4</v>
      </c>
      <c r="B9">
        <v>60.212499999999999</v>
      </c>
      <c r="C9">
        <v>25.631640999999998</v>
      </c>
      <c r="D9">
        <v>2.4203070000000002</v>
      </c>
      <c r="E9">
        <v>14.1677</v>
      </c>
      <c r="F9">
        <v>94.631600000000006</v>
      </c>
      <c r="G9">
        <v>1</v>
      </c>
      <c r="H9">
        <f t="shared" si="1"/>
        <v>2.0493489299690375</v>
      </c>
      <c r="I9">
        <f t="shared" si="2"/>
        <v>0.88588181518367404</v>
      </c>
      <c r="J9">
        <f t="shared" si="3"/>
        <v>1</v>
      </c>
      <c r="K9">
        <f t="shared" si="4"/>
        <v>0</v>
      </c>
      <c r="L9">
        <f t="shared" si="5"/>
        <v>0.88588181518367404</v>
      </c>
      <c r="M9">
        <f t="shared" si="6"/>
        <v>0.12117172871503404</v>
      </c>
    </row>
    <row r="10" spans="1:13">
      <c r="A10">
        <v>5</v>
      </c>
      <c r="B10">
        <v>385.47660000000002</v>
      </c>
      <c r="C10">
        <v>20.329639</v>
      </c>
      <c r="D10">
        <v>5.8317509999999997</v>
      </c>
      <c r="E10">
        <v>35.4298</v>
      </c>
      <c r="F10">
        <v>71.058800000000005</v>
      </c>
      <c r="G10">
        <v>0</v>
      </c>
      <c r="H10">
        <f t="shared" si="1"/>
        <v>-4.9878990309484328</v>
      </c>
      <c r="I10">
        <f t="shared" si="2"/>
        <v>6.7737809762449339E-3</v>
      </c>
      <c r="J10">
        <f t="shared" si="3"/>
        <v>0</v>
      </c>
      <c r="K10">
        <f t="shared" si="4"/>
        <v>0</v>
      </c>
      <c r="L10">
        <f t="shared" si="5"/>
        <v>0.99322621902375507</v>
      </c>
      <c r="M10">
        <f t="shared" si="6"/>
        <v>6.796827162775858E-3</v>
      </c>
    </row>
    <row r="11" spans="1:1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-6.9289376407631247</v>
      </c>
      <c r="I11">
        <f t="shared" si="2"/>
        <v>9.7808282612660952E-4</v>
      </c>
      <c r="J11">
        <f t="shared" si="3"/>
        <v>0</v>
      </c>
      <c r="K11">
        <f t="shared" si="4"/>
        <v>0</v>
      </c>
      <c r="L11">
        <f t="shared" si="5"/>
        <v>0.99902191717387334</v>
      </c>
      <c r="M11">
        <f t="shared" si="6"/>
        <v>9.7856146125602488E-4</v>
      </c>
    </row>
    <row r="12" spans="1:1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0.39279298826244613</v>
      </c>
      <c r="I12">
        <f t="shared" si="2"/>
        <v>0.59695487316523654</v>
      </c>
      <c r="J12">
        <f t="shared" si="3"/>
        <v>1</v>
      </c>
      <c r="K12">
        <f t="shared" si="4"/>
        <v>1</v>
      </c>
      <c r="L12">
        <f t="shared" si="5"/>
        <v>0.40304512683476346</v>
      </c>
      <c r="M12">
        <f t="shared" si="6"/>
        <v>0.90870674604696167</v>
      </c>
    </row>
    <row r="13" spans="1:1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0.27973094259664055</v>
      </c>
      <c r="I13">
        <f t="shared" si="2"/>
        <v>0.56948025969829463</v>
      </c>
      <c r="J13">
        <f t="shared" si="3"/>
        <v>1</v>
      </c>
      <c r="K13">
        <f t="shared" si="4"/>
        <v>0</v>
      </c>
      <c r="L13">
        <f t="shared" si="5"/>
        <v>0.56948025969829463</v>
      </c>
      <c r="M13">
        <f t="shared" si="6"/>
        <v>0.5630311592096281</v>
      </c>
    </row>
    <row r="14" spans="1:13">
      <c r="A14">
        <v>9</v>
      </c>
      <c r="B14">
        <v>188.6454</v>
      </c>
      <c r="C14">
        <v>26.958862</v>
      </c>
      <c r="D14">
        <v>12.508010000000001</v>
      </c>
      <c r="E14">
        <v>82.019800000000004</v>
      </c>
      <c r="F14">
        <v>137.77709999999999</v>
      </c>
      <c r="G14">
        <v>0</v>
      </c>
      <c r="H14">
        <f t="shared" si="1"/>
        <v>-2.4429575628908973</v>
      </c>
      <c r="I14">
        <f t="shared" si="2"/>
        <v>7.9955076695102684E-2</v>
      </c>
      <c r="J14">
        <f t="shared" si="3"/>
        <v>0</v>
      </c>
      <c r="K14">
        <f t="shared" si="4"/>
        <v>0</v>
      </c>
      <c r="L14">
        <f t="shared" si="5"/>
        <v>0.92004492330489729</v>
      </c>
      <c r="M14">
        <f t="shared" si="6"/>
        <v>8.3332780451944852E-2</v>
      </c>
    </row>
    <row r="15" spans="1:1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-30.484661534012062</v>
      </c>
      <c r="I15">
        <f t="shared" si="2"/>
        <v>5.7634126193489536E-14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>
      <c r="A16">
        <v>11</v>
      </c>
      <c r="B16">
        <v>365.39699999999999</v>
      </c>
      <c r="C16">
        <v>3.2798440000000002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-4.570202622357681</v>
      </c>
      <c r="I16">
        <f t="shared" si="2"/>
        <v>1.0249716534483314E-2</v>
      </c>
      <c r="J16">
        <f t="shared" si="3"/>
        <v>0</v>
      </c>
      <c r="K16">
        <f t="shared" si="4"/>
        <v>0</v>
      </c>
      <c r="L16">
        <f t="shared" si="5"/>
        <v>0.98975028346551663</v>
      </c>
      <c r="M16">
        <f t="shared" si="6"/>
        <v>1.0302606594809869E-2</v>
      </c>
    </row>
    <row r="17" spans="1:1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0.51143705002650908</v>
      </c>
      <c r="I17">
        <f t="shared" si="2"/>
        <v>0.62514329207377783</v>
      </c>
      <c r="J17">
        <f t="shared" si="3"/>
        <v>1</v>
      </c>
      <c r="K17">
        <f t="shared" si="4"/>
        <v>0</v>
      </c>
      <c r="L17">
        <f t="shared" si="5"/>
        <v>0.62514329207377783</v>
      </c>
      <c r="M17">
        <f t="shared" si="6"/>
        <v>0.46977438820542622</v>
      </c>
    </row>
    <row r="18" spans="1:13">
      <c r="A18">
        <v>13</v>
      </c>
      <c r="B18">
        <v>10.106999999999999</v>
      </c>
      <c r="C18">
        <v>12.223542999999999</v>
      </c>
      <c r="D18">
        <v>22.972652</v>
      </c>
      <c r="E18">
        <v>9.5124999999999993</v>
      </c>
      <c r="F18">
        <v>42.995199999999997</v>
      </c>
      <c r="G18">
        <v>1</v>
      </c>
      <c r="H18">
        <f t="shared" si="1"/>
        <v>1.4236456277299978</v>
      </c>
      <c r="I18">
        <f t="shared" si="2"/>
        <v>0.80590929971112935</v>
      </c>
      <c r="J18">
        <f t="shared" si="3"/>
        <v>1</v>
      </c>
      <c r="K18">
        <f t="shared" si="4"/>
        <v>0</v>
      </c>
      <c r="L18">
        <f t="shared" si="5"/>
        <v>0.80590929971112935</v>
      </c>
      <c r="M18">
        <f t="shared" si="6"/>
        <v>0.21578407418340911</v>
      </c>
    </row>
    <row r="19" spans="1:1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-2.398919142260195</v>
      </c>
      <c r="I19">
        <f t="shared" si="2"/>
        <v>8.3255154441681828E-2</v>
      </c>
      <c r="J19">
        <f t="shared" si="3"/>
        <v>0</v>
      </c>
      <c r="K19">
        <f t="shared" si="4"/>
        <v>0</v>
      </c>
      <c r="L19">
        <f t="shared" si="5"/>
        <v>0.91674484555831814</v>
      </c>
      <c r="M19">
        <f t="shared" si="6"/>
        <v>8.6926094562659525E-2</v>
      </c>
    </row>
    <row r="20" spans="1:1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-36.617087525895215</v>
      </c>
      <c r="I20">
        <f t="shared" si="2"/>
        <v>1.2514138123128614E-16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>
      <c r="A21">
        <v>16</v>
      </c>
      <c r="B21">
        <v>740.09900000000005</v>
      </c>
      <c r="C21">
        <v>10.532178</v>
      </c>
      <c r="D21">
        <v>6.4108910000000003</v>
      </c>
      <c r="E21">
        <v>168.3168</v>
      </c>
      <c r="F21">
        <v>143.81190000000001</v>
      </c>
      <c r="G21">
        <v>0</v>
      </c>
      <c r="H21">
        <f t="shared" si="1"/>
        <v>-13.874811258463531</v>
      </c>
      <c r="I21">
        <f t="shared" si="2"/>
        <v>9.4242245121592182E-7</v>
      </c>
      <c r="J21">
        <f t="shared" si="3"/>
        <v>0</v>
      </c>
      <c r="K21">
        <f t="shared" si="4"/>
        <v>0</v>
      </c>
      <c r="L21">
        <f t="shared" si="5"/>
        <v>0.99999905757754881</v>
      </c>
      <c r="M21">
        <f t="shared" si="6"/>
        <v>9.4242289526923515E-7</v>
      </c>
    </row>
    <row r="22" spans="1:13">
      <c r="A22">
        <v>17</v>
      </c>
      <c r="B22">
        <v>327.31139999999999</v>
      </c>
      <c r="C22">
        <v>13.294368</v>
      </c>
      <c r="D22">
        <v>12.592986</v>
      </c>
      <c r="E22">
        <v>95.643000000000001</v>
      </c>
      <c r="F22">
        <v>327.86930000000001</v>
      </c>
      <c r="G22">
        <v>0</v>
      </c>
      <c r="H22">
        <f t="shared" si="1"/>
        <v>-6.0288849555983264</v>
      </c>
      <c r="I22">
        <f t="shared" si="2"/>
        <v>2.4023923195460014E-3</v>
      </c>
      <c r="J22">
        <f t="shared" si="3"/>
        <v>0</v>
      </c>
      <c r="K22">
        <f t="shared" si="4"/>
        <v>0</v>
      </c>
      <c r="L22">
        <f t="shared" si="5"/>
        <v>0.99759760768045402</v>
      </c>
      <c r="M22">
        <f t="shared" si="6"/>
        <v>2.4052826941115416E-3</v>
      </c>
    </row>
    <row r="23" spans="1:1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-8.1943165943355716</v>
      </c>
      <c r="I23">
        <f t="shared" si="2"/>
        <v>2.7614270599203951E-4</v>
      </c>
      <c r="J23">
        <f t="shared" si="3"/>
        <v>0</v>
      </c>
      <c r="K23">
        <f t="shared" si="4"/>
        <v>0</v>
      </c>
      <c r="L23">
        <f t="shared" si="5"/>
        <v>0.99972385729400792</v>
      </c>
      <c r="M23">
        <f t="shared" si="6"/>
        <v>2.7618084040963609E-4</v>
      </c>
    </row>
    <row r="24" spans="1:13">
      <c r="A24">
        <v>19</v>
      </c>
      <c r="B24">
        <v>67.775549999999996</v>
      </c>
      <c r="C24">
        <v>23.059925</v>
      </c>
      <c r="D24">
        <v>1.0064869999999999</v>
      </c>
      <c r="E24">
        <v>61.687899999999999</v>
      </c>
      <c r="F24">
        <v>101.27209999999999</v>
      </c>
      <c r="G24">
        <v>1</v>
      </c>
      <c r="H24">
        <f t="shared" si="1"/>
        <v>1.5182200365134282</v>
      </c>
      <c r="I24">
        <f t="shared" si="2"/>
        <v>0.82027622236133313</v>
      </c>
      <c r="J24">
        <f t="shared" si="3"/>
        <v>1</v>
      </c>
      <c r="K24">
        <f t="shared" si="4"/>
        <v>0</v>
      </c>
      <c r="L24">
        <f t="shared" si="5"/>
        <v>0.82027622236133313</v>
      </c>
      <c r="M24">
        <f t="shared" si="6"/>
        <v>0.19811413890905272</v>
      </c>
    </row>
    <row r="25" spans="1:1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-4.4380976709989524</v>
      </c>
      <c r="I25">
        <f t="shared" si="2"/>
        <v>1.1680356512015863E-2</v>
      </c>
      <c r="J25">
        <f t="shared" si="3"/>
        <v>0</v>
      </c>
      <c r="K25">
        <f t="shared" si="4"/>
        <v>0</v>
      </c>
      <c r="L25">
        <f t="shared" si="5"/>
        <v>0.98831964348798418</v>
      </c>
      <c r="M25">
        <f t="shared" si="6"/>
        <v>1.174910775990028E-2</v>
      </c>
    </row>
    <row r="26" spans="1:1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-2.5297965883535092</v>
      </c>
      <c r="I26">
        <f t="shared" si="2"/>
        <v>7.379554853553813E-2</v>
      </c>
      <c r="J26">
        <f t="shared" si="3"/>
        <v>0</v>
      </c>
      <c r="K26">
        <f t="shared" si="4"/>
        <v>0</v>
      </c>
      <c r="L26">
        <f t="shared" si="5"/>
        <v>0.92620445146446184</v>
      </c>
      <c r="M26">
        <f t="shared" si="6"/>
        <v>7.6660278788039285E-2</v>
      </c>
    </row>
    <row r="27" spans="1:1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133.55260000000001</v>
      </c>
      <c r="G27">
        <v>0</v>
      </c>
      <c r="H27">
        <f t="shared" si="1"/>
        <v>-4.1744615987452152</v>
      </c>
      <c r="I27">
        <f t="shared" si="2"/>
        <v>1.5150406060350686E-2</v>
      </c>
      <c r="J27">
        <f t="shared" si="3"/>
        <v>0</v>
      </c>
      <c r="K27">
        <f t="shared" si="4"/>
        <v>0</v>
      </c>
      <c r="L27">
        <f t="shared" si="5"/>
        <v>0.98484959393964933</v>
      </c>
      <c r="M27">
        <f t="shared" si="6"/>
        <v>1.5266345977317075E-2</v>
      </c>
    </row>
    <row r="28" spans="1:1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0.56667642944035634</v>
      </c>
      <c r="I28">
        <f t="shared" si="2"/>
        <v>0.63799592544616057</v>
      </c>
      <c r="J28">
        <f t="shared" si="3"/>
        <v>1</v>
      </c>
      <c r="K28">
        <f t="shared" si="4"/>
        <v>1</v>
      </c>
      <c r="L28">
        <f t="shared" si="5"/>
        <v>0.36200407455383943</v>
      </c>
      <c r="M28">
        <f t="shared" si="6"/>
        <v>1.0160998115461211</v>
      </c>
    </row>
    <row r="29" spans="1:13">
      <c r="A29">
        <v>24</v>
      </c>
      <c r="B29">
        <v>223.03639999999999</v>
      </c>
      <c r="C29">
        <v>6.8653370000000002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-3.5749127588566205</v>
      </c>
      <c r="I29">
        <f t="shared" si="2"/>
        <v>2.725426356566886E-2</v>
      </c>
      <c r="J29">
        <f t="shared" si="3"/>
        <v>0</v>
      </c>
      <c r="K29">
        <f t="shared" si="4"/>
        <v>0</v>
      </c>
      <c r="L29">
        <f t="shared" si="5"/>
        <v>0.97274573643433115</v>
      </c>
      <c r="M29">
        <f t="shared" si="6"/>
        <v>2.7632550129566086E-2</v>
      </c>
    </row>
    <row r="30" spans="1:1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-5.8121444774318389</v>
      </c>
      <c r="I30">
        <f t="shared" si="2"/>
        <v>2.9820895816316476E-3</v>
      </c>
      <c r="J30">
        <f t="shared" si="3"/>
        <v>0</v>
      </c>
      <c r="K30">
        <f t="shared" si="4"/>
        <v>0</v>
      </c>
      <c r="L30">
        <f t="shared" si="5"/>
        <v>0.9970179104183684</v>
      </c>
      <c r="M30">
        <f t="shared" si="6"/>
        <v>2.9865448703527198E-3</v>
      </c>
    </row>
    <row r="31" spans="1:1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-2.0591594254371364</v>
      </c>
      <c r="I31">
        <f t="shared" si="2"/>
        <v>0.1131301389342441</v>
      </c>
      <c r="J31">
        <f t="shared" si="3"/>
        <v>0</v>
      </c>
      <c r="K31">
        <f t="shared" si="4"/>
        <v>0</v>
      </c>
      <c r="L31">
        <f t="shared" si="5"/>
        <v>0.88686986106575594</v>
      </c>
      <c r="M31">
        <f t="shared" si="6"/>
        <v>0.12005702551364555</v>
      </c>
    </row>
    <row r="32" spans="1:1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-17.184524742611259</v>
      </c>
      <c r="I32">
        <f t="shared" si="2"/>
        <v>3.442355470693534E-8</v>
      </c>
      <c r="J32">
        <f t="shared" si="3"/>
        <v>0</v>
      </c>
      <c r="K32">
        <f t="shared" si="4"/>
        <v>0</v>
      </c>
      <c r="L32">
        <f t="shared" si="5"/>
        <v>0.99999996557644533</v>
      </c>
      <c r="M32">
        <f t="shared" si="6"/>
        <v>3.4423555265914524E-8</v>
      </c>
    </row>
    <row r="33" spans="1:13">
      <c r="A33">
        <v>28</v>
      </c>
      <c r="B33">
        <v>22.633749999999999</v>
      </c>
      <c r="C33">
        <v>16.985596999999999</v>
      </c>
      <c r="D33">
        <v>21.934156000000002</v>
      </c>
      <c r="E33">
        <v>34.979399999999998</v>
      </c>
      <c r="F33">
        <v>154.34979999999999</v>
      </c>
      <c r="G33">
        <v>1</v>
      </c>
      <c r="H33">
        <f t="shared" si="1"/>
        <v>0.53576820555175386</v>
      </c>
      <c r="I33">
        <f t="shared" si="2"/>
        <v>0.63082744654365008</v>
      </c>
      <c r="J33">
        <f t="shared" si="3"/>
        <v>1</v>
      </c>
      <c r="K33">
        <f t="shared" si="4"/>
        <v>0</v>
      </c>
      <c r="L33">
        <f t="shared" si="5"/>
        <v>0.63082744654365008</v>
      </c>
      <c r="M33">
        <f t="shared" si="6"/>
        <v>0.46072291414918531</v>
      </c>
    </row>
    <row r="34" spans="1:13">
      <c r="A34">
        <v>29</v>
      </c>
      <c r="B34">
        <v>281.97320000000002</v>
      </c>
      <c r="C34">
        <v>7.5761269999999996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-2.3400442593990585</v>
      </c>
      <c r="I34">
        <f t="shared" si="2"/>
        <v>8.7860367775483519E-2</v>
      </c>
      <c r="J34">
        <f t="shared" si="3"/>
        <v>0</v>
      </c>
      <c r="K34">
        <f t="shared" si="4"/>
        <v>1</v>
      </c>
      <c r="L34">
        <f t="shared" si="5"/>
        <v>8.7860367775483519E-2</v>
      </c>
      <c r="M34">
        <f t="shared" si="6"/>
        <v>2.4320064545169782</v>
      </c>
    </row>
    <row r="35" spans="1:13">
      <c r="A35">
        <v>30</v>
      </c>
      <c r="B35">
        <v>320.488</v>
      </c>
      <c r="C35">
        <v>11.435774</v>
      </c>
      <c r="D35">
        <v>3.753606</v>
      </c>
      <c r="E35">
        <v>23.857600000000001</v>
      </c>
      <c r="F35">
        <v>63.967500000000001</v>
      </c>
      <c r="G35">
        <v>0</v>
      </c>
      <c r="H35">
        <f t="shared" si="1"/>
        <v>-3.2437202798745446</v>
      </c>
      <c r="I35">
        <f t="shared" si="2"/>
        <v>3.7553197027108895E-2</v>
      </c>
      <c r="J35">
        <f t="shared" si="3"/>
        <v>0</v>
      </c>
      <c r="K35">
        <f t="shared" si="4"/>
        <v>0</v>
      </c>
      <c r="L35">
        <f t="shared" si="5"/>
        <v>0.96244680297289109</v>
      </c>
      <c r="M35">
        <f t="shared" si="6"/>
        <v>3.8276483986175225E-2</v>
      </c>
    </row>
    <row r="36" spans="1:13">
      <c r="A36">
        <v>31</v>
      </c>
      <c r="B36">
        <v>775.38440000000003</v>
      </c>
      <c r="C36">
        <v>4.2702330000000002</v>
      </c>
      <c r="D36">
        <v>3.2026750000000002</v>
      </c>
      <c r="E36">
        <v>0</v>
      </c>
      <c r="F36">
        <v>137.37450000000001</v>
      </c>
      <c r="G36">
        <v>0</v>
      </c>
      <c r="H36">
        <f t="shared" si="1"/>
        <v>-12.39966192634277</v>
      </c>
      <c r="I36">
        <f t="shared" si="2"/>
        <v>4.1199643550975713E-6</v>
      </c>
      <c r="J36">
        <f t="shared" si="3"/>
        <v>0</v>
      </c>
      <c r="K36">
        <f t="shared" si="4"/>
        <v>0</v>
      </c>
      <c r="L36">
        <f t="shared" si="5"/>
        <v>0.99999588003564488</v>
      </c>
      <c r="M36">
        <f t="shared" si="6"/>
        <v>4.1199728421968639E-6</v>
      </c>
    </row>
    <row r="37" spans="1:1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-4.2891801913580538</v>
      </c>
      <c r="I37">
        <f t="shared" si="2"/>
        <v>1.3530577679928789E-2</v>
      </c>
      <c r="J37">
        <f t="shared" si="3"/>
        <v>0</v>
      </c>
      <c r="K37">
        <f t="shared" si="4"/>
        <v>0</v>
      </c>
      <c r="L37">
        <f t="shared" si="5"/>
        <v>0.98646942232007118</v>
      </c>
      <c r="M37">
        <f t="shared" si="6"/>
        <v>1.3622950127509035E-2</v>
      </c>
    </row>
    <row r="38" spans="1:1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1.8225035695724956</v>
      </c>
      <c r="I38">
        <f t="shared" si="2"/>
        <v>0.86086626443730296</v>
      </c>
      <c r="J38">
        <f t="shared" si="3"/>
        <v>1</v>
      </c>
      <c r="K38">
        <f t="shared" si="4"/>
        <v>0</v>
      </c>
      <c r="L38">
        <f t="shared" si="5"/>
        <v>0.86086626443730296</v>
      </c>
      <c r="M38">
        <f t="shared" si="6"/>
        <v>0.14981611247550741</v>
      </c>
    </row>
    <row r="39" spans="1:13">
      <c r="A39">
        <v>34</v>
      </c>
      <c r="B39">
        <v>122.3764</v>
      </c>
      <c r="C39">
        <v>9.0537179999999999</v>
      </c>
      <c r="D39">
        <v>6.6702240000000002</v>
      </c>
      <c r="E39">
        <v>72.572000000000003</v>
      </c>
      <c r="F39">
        <v>318.48989999999998</v>
      </c>
      <c r="G39">
        <v>0</v>
      </c>
      <c r="H39">
        <f t="shared" si="1"/>
        <v>-0.97238739984854838</v>
      </c>
      <c r="I39">
        <f t="shared" si="2"/>
        <v>0.27440489861868683</v>
      </c>
      <c r="J39">
        <f t="shared" si="3"/>
        <v>0</v>
      </c>
      <c r="K39">
        <f t="shared" si="4"/>
        <v>0</v>
      </c>
      <c r="L39">
        <f t="shared" si="5"/>
        <v>0.72559510138131311</v>
      </c>
      <c r="M39">
        <f t="shared" si="6"/>
        <v>0.32076313133228873</v>
      </c>
    </row>
    <row r="40" spans="1:13">
      <c r="A40">
        <v>35</v>
      </c>
      <c r="B40">
        <v>69.549800000000005</v>
      </c>
      <c r="C40">
        <v>36.724414000000003</v>
      </c>
      <c r="D40">
        <v>39.827810999999997</v>
      </c>
      <c r="E40">
        <v>47.420400000000001</v>
      </c>
      <c r="F40">
        <v>104.0339</v>
      </c>
      <c r="G40">
        <v>0</v>
      </c>
      <c r="H40">
        <f t="shared" si="1"/>
        <v>-2.2547927778473378</v>
      </c>
      <c r="I40">
        <f t="shared" si="2"/>
        <v>9.4936850747600152E-2</v>
      </c>
      <c r="J40">
        <f t="shared" si="3"/>
        <v>0</v>
      </c>
      <c r="K40">
        <f t="shared" si="4"/>
        <v>0</v>
      </c>
      <c r="L40">
        <f t="shared" si="5"/>
        <v>0.90506314925239983</v>
      </c>
      <c r="M40">
        <f t="shared" si="6"/>
        <v>9.9750559537147523E-2</v>
      </c>
    </row>
    <row r="41" spans="1:13">
      <c r="A41">
        <v>36</v>
      </c>
      <c r="B41">
        <v>161.37200000000001</v>
      </c>
      <c r="C41">
        <v>6.2935049999999997</v>
      </c>
      <c r="D41">
        <v>1.8288819999999999</v>
      </c>
      <c r="E41">
        <v>59.169800000000002</v>
      </c>
      <c r="F41">
        <v>193.7681</v>
      </c>
      <c r="G41">
        <v>0</v>
      </c>
      <c r="H41">
        <f t="shared" si="1"/>
        <v>-0.65485222143981225</v>
      </c>
      <c r="I41">
        <f t="shared" si="2"/>
        <v>0.34189693485662448</v>
      </c>
      <c r="J41">
        <f t="shared" si="3"/>
        <v>0</v>
      </c>
      <c r="K41">
        <f t="shared" si="4"/>
        <v>0</v>
      </c>
      <c r="L41">
        <f t="shared" si="5"/>
        <v>0.65810306514337547</v>
      </c>
      <c r="M41">
        <f t="shared" si="6"/>
        <v>0.41839372596613955</v>
      </c>
    </row>
    <row r="42" spans="1:13">
      <c r="A42">
        <v>37</v>
      </c>
      <c r="B42">
        <v>551.65499999999997</v>
      </c>
      <c r="C42">
        <v>27.582747999999999</v>
      </c>
      <c r="D42">
        <v>5.4262790000000001</v>
      </c>
      <c r="E42">
        <v>306.92079999999999</v>
      </c>
      <c r="F42">
        <v>181.46940000000001</v>
      </c>
      <c r="G42">
        <v>0</v>
      </c>
      <c r="H42">
        <f t="shared" si="1"/>
        <v>-11.715907051311056</v>
      </c>
      <c r="I42">
        <f t="shared" si="2"/>
        <v>8.1628660894065177E-6</v>
      </c>
      <c r="J42">
        <f t="shared" si="3"/>
        <v>0</v>
      </c>
      <c r="K42">
        <f t="shared" si="4"/>
        <v>0</v>
      </c>
      <c r="L42">
        <f t="shared" si="5"/>
        <v>0.9999918371339106</v>
      </c>
      <c r="M42">
        <f t="shared" si="6"/>
        <v>8.1628994057733458E-6</v>
      </c>
    </row>
    <row r="43" spans="1:13">
      <c r="A43">
        <v>38</v>
      </c>
      <c r="B43">
        <v>182.38339999999999</v>
      </c>
      <c r="C43">
        <v>19.927461000000001</v>
      </c>
      <c r="D43">
        <v>2.7875649999999998</v>
      </c>
      <c r="E43">
        <v>10.3626</v>
      </c>
      <c r="F43">
        <v>118.2642</v>
      </c>
      <c r="G43">
        <v>0</v>
      </c>
      <c r="H43">
        <f t="shared" si="1"/>
        <v>-0.47250293150511702</v>
      </c>
      <c r="I43">
        <f t="shared" si="2"/>
        <v>0.38402400463536801</v>
      </c>
      <c r="J43">
        <f t="shared" si="3"/>
        <v>0</v>
      </c>
      <c r="K43">
        <f t="shared" si="4"/>
        <v>0</v>
      </c>
      <c r="L43">
        <f t="shared" si="5"/>
        <v>0.61597599536463199</v>
      </c>
      <c r="M43">
        <f t="shared" si="6"/>
        <v>0.48454728477182057</v>
      </c>
    </row>
    <row r="44" spans="1:1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-8.3025365856228781</v>
      </c>
      <c r="I44">
        <f t="shared" si="2"/>
        <v>2.4782580887725507E-4</v>
      </c>
      <c r="J44">
        <f t="shared" si="3"/>
        <v>0</v>
      </c>
      <c r="K44">
        <f t="shared" si="4"/>
        <v>0</v>
      </c>
      <c r="L44">
        <f t="shared" si="5"/>
        <v>0.99975217419112272</v>
      </c>
      <c r="M44">
        <f t="shared" si="6"/>
        <v>2.478565227676186E-4</v>
      </c>
    </row>
    <row r="45" spans="1:13">
      <c r="A45">
        <v>40</v>
      </c>
      <c r="B45">
        <v>241.71199999999999</v>
      </c>
      <c r="C45">
        <v>8.6438299999999995</v>
      </c>
      <c r="D45">
        <v>19.643474999999999</v>
      </c>
      <c r="E45">
        <v>970.35080000000005</v>
      </c>
      <c r="F45">
        <v>78.421800000000005</v>
      </c>
      <c r="G45">
        <v>0</v>
      </c>
      <c r="H45">
        <f t="shared" si="1"/>
        <v>-13.376774558717752</v>
      </c>
      <c r="I45">
        <f t="shared" si="2"/>
        <v>1.5507434304643772E-6</v>
      </c>
      <c r="J45">
        <f t="shared" si="3"/>
        <v>0</v>
      </c>
      <c r="K45">
        <f t="shared" si="4"/>
        <v>0</v>
      </c>
      <c r="L45">
        <f t="shared" si="5"/>
        <v>0.99999844925656955</v>
      </c>
      <c r="M45">
        <f t="shared" si="6"/>
        <v>1.5507446328489817E-6</v>
      </c>
    </row>
    <row r="46" spans="1:13">
      <c r="A46">
        <v>41</v>
      </c>
      <c r="B46">
        <v>175.3862</v>
      </c>
      <c r="C46">
        <v>21.978076999999999</v>
      </c>
      <c r="D46">
        <v>13.692078</v>
      </c>
      <c r="E46">
        <v>58.794199999999996</v>
      </c>
      <c r="F46">
        <v>78.313400000000001</v>
      </c>
      <c r="G46">
        <v>0</v>
      </c>
      <c r="H46">
        <f t="shared" si="1"/>
        <v>-1.7738189916258476</v>
      </c>
      <c r="I46">
        <f t="shared" si="2"/>
        <v>0.14506804266109299</v>
      </c>
      <c r="J46">
        <f t="shared" si="3"/>
        <v>0</v>
      </c>
      <c r="K46">
        <f t="shared" si="4"/>
        <v>0</v>
      </c>
      <c r="L46">
        <f t="shared" si="5"/>
        <v>0.85493195733890703</v>
      </c>
      <c r="M46">
        <f t="shared" si="6"/>
        <v>0.15673339527195482</v>
      </c>
    </row>
    <row r="47" spans="1:1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-7.4909986643532642</v>
      </c>
      <c r="I47">
        <f t="shared" si="2"/>
        <v>5.5777405662651004E-4</v>
      </c>
      <c r="J47">
        <f t="shared" si="3"/>
        <v>0</v>
      </c>
      <c r="K47">
        <f t="shared" si="4"/>
        <v>0</v>
      </c>
      <c r="L47">
        <f t="shared" si="5"/>
        <v>0.99944222594337351</v>
      </c>
      <c r="M47">
        <f t="shared" si="6"/>
        <v>5.5792967044320527E-4</v>
      </c>
    </row>
    <row r="48" spans="1:13">
      <c r="A48">
        <v>43</v>
      </c>
      <c r="B48">
        <v>58.769100000000002</v>
      </c>
      <c r="C48">
        <v>32.248958999999999</v>
      </c>
      <c r="D48">
        <v>7.0198980000000004</v>
      </c>
      <c r="E48">
        <v>39.796399999999998</v>
      </c>
      <c r="F48">
        <v>134.58539999999999</v>
      </c>
      <c r="G48">
        <v>1</v>
      </c>
      <c r="H48">
        <f t="shared" si="1"/>
        <v>1.1524904865461116</v>
      </c>
      <c r="I48">
        <f t="shared" si="2"/>
        <v>0.75996552043881649</v>
      </c>
      <c r="J48">
        <f t="shared" si="3"/>
        <v>1</v>
      </c>
      <c r="K48">
        <f t="shared" si="4"/>
        <v>0</v>
      </c>
      <c r="L48">
        <f t="shared" si="5"/>
        <v>0.75996552043881649</v>
      </c>
      <c r="M48">
        <f t="shared" si="6"/>
        <v>0.27448221457457456</v>
      </c>
    </row>
    <row r="49" spans="1:1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0.67208631594547175</v>
      </c>
      <c r="I49">
        <f t="shared" si="2"/>
        <v>0.6619701627216571</v>
      </c>
      <c r="J49">
        <f t="shared" si="3"/>
        <v>1</v>
      </c>
      <c r="K49">
        <f t="shared" si="4"/>
        <v>0</v>
      </c>
      <c r="L49">
        <f t="shared" si="5"/>
        <v>0.6619701627216571</v>
      </c>
      <c r="M49">
        <f t="shared" si="6"/>
        <v>0.41253479547831212</v>
      </c>
    </row>
    <row r="50" spans="1:13">
      <c r="A50">
        <v>45</v>
      </c>
      <c r="B50">
        <v>919.11860000000001</v>
      </c>
      <c r="C50">
        <v>12.946122000000001</v>
      </c>
      <c r="D50">
        <v>5.4107760000000003</v>
      </c>
      <c r="E50">
        <v>9.1707999999999998</v>
      </c>
      <c r="F50">
        <v>98.875900000000001</v>
      </c>
      <c r="G50">
        <v>0</v>
      </c>
      <c r="H50">
        <f t="shared" si="1"/>
        <v>-15.555844366501862</v>
      </c>
      <c r="I50">
        <f t="shared" si="2"/>
        <v>1.7546178939977294E-7</v>
      </c>
      <c r="J50">
        <f t="shared" si="3"/>
        <v>0</v>
      </c>
      <c r="K50">
        <f t="shared" si="4"/>
        <v>0</v>
      </c>
      <c r="L50">
        <f t="shared" si="5"/>
        <v>0.99999982453821057</v>
      </c>
      <c r="M50">
        <f t="shared" si="6"/>
        <v>1.7546180482459654E-7</v>
      </c>
    </row>
    <row r="51" spans="1:13">
      <c r="A51">
        <v>46</v>
      </c>
      <c r="B51">
        <v>157.173</v>
      </c>
      <c r="C51">
        <v>8.2362870000000008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-7.457372395838302E-2</v>
      </c>
      <c r="I51">
        <f t="shared" si="2"/>
        <v>0.48136520425815421</v>
      </c>
      <c r="J51">
        <f t="shared" si="3"/>
        <v>0</v>
      </c>
      <c r="K51">
        <f t="shared" si="4"/>
        <v>1</v>
      </c>
      <c r="L51">
        <f t="shared" si="5"/>
        <v>0.48136520425815421</v>
      </c>
      <c r="M51">
        <f t="shared" si="6"/>
        <v>0.73112903655678396</v>
      </c>
    </row>
    <row r="52" spans="1:13">
      <c r="A52">
        <v>47</v>
      </c>
      <c r="B52">
        <v>113.3558</v>
      </c>
      <c r="C52">
        <v>30.756011000000001</v>
      </c>
      <c r="D52">
        <v>13.094433</v>
      </c>
      <c r="E52">
        <v>51.192999999999998</v>
      </c>
      <c r="F52">
        <v>140.1842</v>
      </c>
      <c r="G52">
        <v>0</v>
      </c>
      <c r="H52">
        <f t="shared" si="1"/>
        <v>-0.67851169566468794</v>
      </c>
      <c r="I52">
        <f t="shared" si="2"/>
        <v>0.33659355760982201</v>
      </c>
      <c r="J52">
        <f t="shared" si="3"/>
        <v>0</v>
      </c>
      <c r="K52">
        <f t="shared" si="4"/>
        <v>0</v>
      </c>
      <c r="L52">
        <f t="shared" si="5"/>
        <v>0.66340644239017799</v>
      </c>
      <c r="M52">
        <f t="shared" si="6"/>
        <v>0.41036744134633812</v>
      </c>
    </row>
    <row r="53" spans="1:13">
      <c r="A53">
        <v>48</v>
      </c>
      <c r="B53">
        <v>417.32279999999997</v>
      </c>
      <c r="C53">
        <v>18.725394000000001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-9.1542517607693554</v>
      </c>
      <c r="I53">
        <f t="shared" si="2"/>
        <v>1.0575795436168114E-4</v>
      </c>
      <c r="J53">
        <f t="shared" si="3"/>
        <v>0</v>
      </c>
      <c r="K53">
        <f t="shared" si="4"/>
        <v>0</v>
      </c>
      <c r="L53">
        <f t="shared" si="5"/>
        <v>0.99989424204563837</v>
      </c>
      <c r="M53">
        <f t="shared" si="6"/>
        <v>1.0576354712840795E-4</v>
      </c>
    </row>
    <row r="54" spans="1:1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-6.4968596810752386</v>
      </c>
      <c r="I54">
        <f t="shared" si="2"/>
        <v>1.5058967473300159E-3</v>
      </c>
      <c r="J54">
        <f t="shared" si="3"/>
        <v>0</v>
      </c>
      <c r="K54">
        <f t="shared" si="4"/>
        <v>0</v>
      </c>
      <c r="L54">
        <f t="shared" si="5"/>
        <v>0.99849410325266996</v>
      </c>
      <c r="M54">
        <f t="shared" si="6"/>
        <v>1.5070317494439496E-3</v>
      </c>
    </row>
    <row r="55" spans="1:1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-0.9276722435126743</v>
      </c>
      <c r="I55">
        <f t="shared" si="2"/>
        <v>0.28339720436856791</v>
      </c>
      <c r="J55">
        <f t="shared" si="3"/>
        <v>0</v>
      </c>
      <c r="K55">
        <f t="shared" si="4"/>
        <v>0</v>
      </c>
      <c r="L55">
        <f t="shared" si="5"/>
        <v>0.71660279563143203</v>
      </c>
      <c r="M55">
        <f t="shared" si="6"/>
        <v>0.33323357287491906</v>
      </c>
    </row>
    <row r="56" spans="1:13">
      <c r="A56">
        <v>51</v>
      </c>
      <c r="B56">
        <v>133.06120000000001</v>
      </c>
      <c r="C56">
        <v>31.008163</v>
      </c>
      <c r="D56">
        <v>16.583673000000001</v>
      </c>
      <c r="E56">
        <v>5.7141999999999999</v>
      </c>
      <c r="F56">
        <v>44.591799999999999</v>
      </c>
      <c r="G56">
        <v>0</v>
      </c>
      <c r="H56">
        <f t="shared" si="1"/>
        <v>-0.568591570247162</v>
      </c>
      <c r="I56">
        <f t="shared" si="2"/>
        <v>0.36156187614004487</v>
      </c>
      <c r="J56">
        <f t="shared" si="3"/>
        <v>0</v>
      </c>
      <c r="K56">
        <f t="shared" si="4"/>
        <v>0</v>
      </c>
      <c r="L56">
        <f t="shared" si="5"/>
        <v>0.63843812385995513</v>
      </c>
      <c r="M56">
        <f t="shared" si="6"/>
        <v>0.44873051680383214</v>
      </c>
    </row>
    <row r="57" spans="1:1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-2.461224967702158E-2</v>
      </c>
      <c r="I57">
        <f t="shared" si="2"/>
        <v>0.4938472481699745</v>
      </c>
      <c r="J57">
        <f t="shared" si="3"/>
        <v>0</v>
      </c>
      <c r="K57">
        <f t="shared" si="4"/>
        <v>0</v>
      </c>
      <c r="L57">
        <f t="shared" si="5"/>
        <v>0.5061527518300255</v>
      </c>
      <c r="M57">
        <f t="shared" si="6"/>
        <v>0.68091677416459162</v>
      </c>
    </row>
    <row r="58" spans="1:1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0.50933805140489108</v>
      </c>
      <c r="I58">
        <f t="shared" si="2"/>
        <v>0.62465128544990656</v>
      </c>
      <c r="J58">
        <f t="shared" si="3"/>
        <v>1</v>
      </c>
      <c r="K58">
        <f t="shared" si="4"/>
        <v>0</v>
      </c>
      <c r="L58">
        <f t="shared" si="5"/>
        <v>0.62465128544990656</v>
      </c>
      <c r="M58">
        <f t="shared" si="6"/>
        <v>0.47056172823415726</v>
      </c>
    </row>
    <row r="59" spans="1:1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0.28795199640777058</v>
      </c>
      <c r="I59">
        <f t="shared" si="2"/>
        <v>0.57149467397965081</v>
      </c>
      <c r="J59">
        <f t="shared" si="3"/>
        <v>1</v>
      </c>
      <c r="K59">
        <f t="shared" si="4"/>
        <v>0</v>
      </c>
      <c r="L59">
        <f t="shared" si="5"/>
        <v>0.57149467397965081</v>
      </c>
      <c r="M59">
        <f t="shared" si="6"/>
        <v>0.55950011516138709</v>
      </c>
    </row>
    <row r="60" spans="1:13">
      <c r="A60">
        <v>55</v>
      </c>
      <c r="B60">
        <v>293.51799999999997</v>
      </c>
      <c r="C60">
        <v>43.684224</v>
      </c>
      <c r="D60">
        <v>7.010084</v>
      </c>
      <c r="E60">
        <v>48.919600000000003</v>
      </c>
      <c r="F60">
        <v>206.62729999999999</v>
      </c>
      <c r="G60">
        <v>0</v>
      </c>
      <c r="H60">
        <f t="shared" si="1"/>
        <v>-4.0790634475656278</v>
      </c>
      <c r="I60">
        <f t="shared" si="2"/>
        <v>1.6641675599712247E-2</v>
      </c>
      <c r="J60">
        <f t="shared" si="3"/>
        <v>0</v>
      </c>
      <c r="K60">
        <f t="shared" si="4"/>
        <v>0</v>
      </c>
      <c r="L60">
        <f t="shared" si="5"/>
        <v>0.9833583244002877</v>
      </c>
      <c r="M60">
        <f t="shared" si="6"/>
        <v>1.6781703994967465E-2</v>
      </c>
    </row>
    <row r="61" spans="1:1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-0.27445714184114944</v>
      </c>
      <c r="I61">
        <f t="shared" si="2"/>
        <v>0.43181320214211338</v>
      </c>
      <c r="J61">
        <f t="shared" si="3"/>
        <v>0</v>
      </c>
      <c r="K61">
        <f t="shared" si="4"/>
        <v>0</v>
      </c>
      <c r="L61">
        <f t="shared" si="5"/>
        <v>0.56818679785788662</v>
      </c>
      <c r="M61">
        <f t="shared" si="6"/>
        <v>0.56530504485858557</v>
      </c>
    </row>
    <row r="62" spans="1:1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0.72014086079920814</v>
      </c>
      <c r="I62">
        <f t="shared" si="2"/>
        <v>0.67263803482188356</v>
      </c>
      <c r="J62">
        <f t="shared" si="3"/>
        <v>1</v>
      </c>
      <c r="K62">
        <f t="shared" si="4"/>
        <v>0</v>
      </c>
      <c r="L62">
        <f t="shared" si="5"/>
        <v>0.67263803482188356</v>
      </c>
      <c r="M62">
        <f t="shared" si="6"/>
        <v>0.39654793232760399</v>
      </c>
    </row>
    <row r="63" spans="1:13">
      <c r="A63">
        <v>58</v>
      </c>
      <c r="B63">
        <v>30.389150000000001</v>
      </c>
      <c r="C63">
        <v>42.006177000000001</v>
      </c>
      <c r="D63">
        <v>11.147622</v>
      </c>
      <c r="E63">
        <v>37.554000000000002</v>
      </c>
      <c r="F63">
        <v>141.80420000000001</v>
      </c>
      <c r="G63">
        <v>1</v>
      </c>
      <c r="H63">
        <f t="shared" si="1"/>
        <v>1.2473738598161708</v>
      </c>
      <c r="I63">
        <f t="shared" si="2"/>
        <v>0.7768449327072241</v>
      </c>
      <c r="J63">
        <f t="shared" si="3"/>
        <v>1</v>
      </c>
      <c r="K63">
        <f t="shared" si="4"/>
        <v>0</v>
      </c>
      <c r="L63">
        <f t="shared" si="5"/>
        <v>0.7768449327072241</v>
      </c>
      <c r="M63">
        <f t="shared" si="6"/>
        <v>0.2525145203369667</v>
      </c>
    </row>
    <row r="64" spans="1:1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-7.7611643172514455E-2</v>
      </c>
      <c r="I64">
        <f t="shared" si="2"/>
        <v>0.48060682290510354</v>
      </c>
      <c r="J64">
        <f t="shared" si="3"/>
        <v>0</v>
      </c>
      <c r="K64">
        <f t="shared" si="4"/>
        <v>0</v>
      </c>
      <c r="L64">
        <f t="shared" si="5"/>
        <v>0.51939317709489652</v>
      </c>
      <c r="M64">
        <f t="shared" si="6"/>
        <v>0.65509411596819278</v>
      </c>
    </row>
    <row r="65" spans="1:1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0.39743832444436844</v>
      </c>
      <c r="I65">
        <f t="shared" si="2"/>
        <v>0.5980720347361167</v>
      </c>
      <c r="J65">
        <f t="shared" si="3"/>
        <v>1</v>
      </c>
      <c r="K65">
        <f t="shared" si="4"/>
        <v>1</v>
      </c>
      <c r="L65">
        <f t="shared" si="5"/>
        <v>0.4019279652638833</v>
      </c>
      <c r="M65">
        <f t="shared" si="6"/>
        <v>0.91148239730558334</v>
      </c>
    </row>
    <row r="66" spans="1:13">
      <c r="A66">
        <v>61</v>
      </c>
      <c r="B66">
        <v>34.296950000000002</v>
      </c>
      <c r="C66">
        <v>31.876764000000001</v>
      </c>
      <c r="D66">
        <v>12.722232999999999</v>
      </c>
      <c r="E66">
        <v>112.9211</v>
      </c>
      <c r="F66">
        <v>79.889099999999999</v>
      </c>
      <c r="G66">
        <v>1</v>
      </c>
      <c r="H66">
        <f t="shared" si="1"/>
        <v>0.52186604411564019</v>
      </c>
      <c r="I66">
        <f t="shared" si="2"/>
        <v>0.62758400620792942</v>
      </c>
      <c r="J66">
        <f t="shared" si="3"/>
        <v>1</v>
      </c>
      <c r="K66">
        <f t="shared" si="4"/>
        <v>0</v>
      </c>
      <c r="L66">
        <f t="shared" si="5"/>
        <v>0.62758400620792942</v>
      </c>
      <c r="M66">
        <f t="shared" si="6"/>
        <v>0.46587774250163327</v>
      </c>
    </row>
    <row r="67" spans="1:1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2.3042959484363061</v>
      </c>
      <c r="I67">
        <f t="shared" si="2"/>
        <v>0.90923220317711972</v>
      </c>
      <c r="J67">
        <f t="shared" si="3"/>
        <v>1</v>
      </c>
      <c r="K67">
        <f t="shared" si="4"/>
        <v>0</v>
      </c>
      <c r="L67">
        <f t="shared" si="5"/>
        <v>0.90923220317711972</v>
      </c>
      <c r="M67">
        <f t="shared" si="6"/>
        <v>9.5154768386473187E-2</v>
      </c>
    </row>
    <row r="68" spans="1:13">
      <c r="A68">
        <v>63</v>
      </c>
      <c r="B68">
        <v>60.285200000000003</v>
      </c>
      <c r="C68">
        <v>15.595086999999999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1.7330258444130449</v>
      </c>
      <c r="I68">
        <f t="shared" si="2"/>
        <v>0.84979904985362442</v>
      </c>
      <c r="J68">
        <f t="shared" si="3"/>
        <v>1</v>
      </c>
      <c r="K68">
        <f t="shared" si="4"/>
        <v>0</v>
      </c>
      <c r="L68">
        <f t="shared" si="5"/>
        <v>0.84979904985362442</v>
      </c>
      <c r="M68">
        <f t="shared" si="6"/>
        <v>0.1627553693843945</v>
      </c>
    </row>
    <row r="69" spans="1:13">
      <c r="A69">
        <v>64</v>
      </c>
      <c r="B69">
        <v>52.327399999999997</v>
      </c>
      <c r="C69">
        <v>17.149460000000001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1.3482892325591695</v>
      </c>
      <c r="I69">
        <f t="shared" si="2"/>
        <v>0.79384979792034538</v>
      </c>
      <c r="J69">
        <f t="shared" si="3"/>
        <v>1</v>
      </c>
      <c r="K69">
        <f t="shared" si="4"/>
        <v>1</v>
      </c>
      <c r="L69">
        <f t="shared" si="5"/>
        <v>0.20615020207965462</v>
      </c>
      <c r="M69">
        <f t="shared" si="6"/>
        <v>1.5791502395742896</v>
      </c>
    </row>
    <row r="70" spans="1:1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-1.6645767218077667</v>
      </c>
      <c r="I70">
        <f t="shared" si="2"/>
        <v>0.15914858276189589</v>
      </c>
      <c r="J70">
        <f t="shared" si="3"/>
        <v>0</v>
      </c>
      <c r="K70">
        <f t="shared" si="4"/>
        <v>0</v>
      </c>
      <c r="L70">
        <f t="shared" si="5"/>
        <v>0.84085141723810408</v>
      </c>
      <c r="M70">
        <f t="shared" si="6"/>
        <v>0.17334030853212731</v>
      </c>
    </row>
    <row r="71" spans="1:1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85.451800000000006</v>
      </c>
      <c r="G71">
        <v>0</v>
      </c>
      <c r="H71">
        <f t="shared" ref="H71:H92" si="7">$G$4+SUMPRODUCT($B$4:$F$4,B71:F71)</f>
        <v>-19.833703762225255</v>
      </c>
      <c r="I71">
        <f t="shared" ref="I71:I92" si="8">1/(1+EXP(0-H71))</f>
        <v>2.4340634740023818E-9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0.99999999756593649</v>
      </c>
      <c r="M71">
        <f t="shared" ref="M71:M92" si="12">IF(L71=0, 1000000, -LN(L71))</f>
        <v>2.4340635092692598E-9</v>
      </c>
    </row>
    <row r="72" spans="1:13">
      <c r="A72">
        <v>67</v>
      </c>
      <c r="B72">
        <v>20.931899999999999</v>
      </c>
      <c r="C72">
        <v>27.724730999999998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2.375339086324237</v>
      </c>
      <c r="I72">
        <f t="shared" si="8"/>
        <v>0.91492735158999372</v>
      </c>
      <c r="J72">
        <f t="shared" si="9"/>
        <v>1</v>
      </c>
      <c r="K72">
        <f t="shared" si="10"/>
        <v>0</v>
      </c>
      <c r="L72">
        <f t="shared" si="11"/>
        <v>0.91492735158999372</v>
      </c>
      <c r="M72">
        <f t="shared" si="12"/>
        <v>8.8910614028143611E-2</v>
      </c>
    </row>
    <row r="73" spans="1:1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-53.328664371907834</v>
      </c>
      <c r="I73">
        <f t="shared" si="8"/>
        <v>6.9128213910305181E-24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-0.52795799339525473</v>
      </c>
      <c r="I74">
        <f t="shared" si="8"/>
        <v>0.37099327944859445</v>
      </c>
      <c r="J74">
        <f t="shared" si="9"/>
        <v>0</v>
      </c>
      <c r="K74">
        <f t="shared" si="10"/>
        <v>0</v>
      </c>
      <c r="L74">
        <f t="shared" si="11"/>
        <v>0.62900672055140561</v>
      </c>
      <c r="M74">
        <f t="shared" si="12"/>
        <v>0.46361333783733566</v>
      </c>
    </row>
    <row r="75" spans="1:1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-6.7022660728221579</v>
      </c>
      <c r="I75">
        <f t="shared" si="8"/>
        <v>1.2266192820030899E-3</v>
      </c>
      <c r="J75">
        <f t="shared" si="9"/>
        <v>0</v>
      </c>
      <c r="K75">
        <f t="shared" si="10"/>
        <v>0</v>
      </c>
      <c r="L75">
        <f t="shared" si="11"/>
        <v>0.99877338071799693</v>
      </c>
      <c r="M75">
        <f t="shared" si="12"/>
        <v>1.2273721951894269E-3</v>
      </c>
    </row>
    <row r="76" spans="1:13">
      <c r="A76">
        <v>71</v>
      </c>
      <c r="B76">
        <v>120.726</v>
      </c>
      <c r="C76">
        <v>23.97214</v>
      </c>
      <c r="D76">
        <v>10.747151000000001</v>
      </c>
      <c r="E76">
        <v>12.663600000000001</v>
      </c>
      <c r="F76">
        <v>61.724400000000003</v>
      </c>
      <c r="G76">
        <v>0</v>
      </c>
      <c r="H76">
        <f t="shared" si="7"/>
        <v>0.16520218489674132</v>
      </c>
      <c r="I76">
        <f t="shared" si="8"/>
        <v>0.54120687148128699</v>
      </c>
      <c r="J76">
        <f t="shared" si="9"/>
        <v>1</v>
      </c>
      <c r="K76">
        <f t="shared" si="10"/>
        <v>1</v>
      </c>
      <c r="L76">
        <f t="shared" si="11"/>
        <v>0.45879312851871301</v>
      </c>
      <c r="M76">
        <f t="shared" si="12"/>
        <v>0.77915587091250305</v>
      </c>
    </row>
    <row r="77" spans="1:13">
      <c r="A77">
        <v>72</v>
      </c>
      <c r="B77">
        <v>18.136849999999999</v>
      </c>
      <c r="C77">
        <v>42.192909999999998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2.2964282644001939</v>
      </c>
      <c r="I77">
        <f t="shared" si="8"/>
        <v>0.90858079707240991</v>
      </c>
      <c r="J77">
        <f t="shared" si="9"/>
        <v>1</v>
      </c>
      <c r="K77">
        <f t="shared" si="10"/>
        <v>0</v>
      </c>
      <c r="L77">
        <f t="shared" si="11"/>
        <v>0.90858079707240991</v>
      </c>
      <c r="M77">
        <f t="shared" si="12"/>
        <v>9.587146051322458E-2</v>
      </c>
    </row>
    <row r="78" spans="1:13">
      <c r="A78">
        <v>73</v>
      </c>
      <c r="B78">
        <v>44.603200000000001</v>
      </c>
      <c r="C78">
        <v>24.625838000000002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0.81527429858240286</v>
      </c>
      <c r="I78">
        <f t="shared" si="8"/>
        <v>0.69323228510630686</v>
      </c>
      <c r="J78">
        <f t="shared" si="9"/>
        <v>1</v>
      </c>
      <c r="K78">
        <f t="shared" si="10"/>
        <v>0</v>
      </c>
      <c r="L78">
        <f t="shared" si="11"/>
        <v>0.69323228510630686</v>
      </c>
      <c r="M78">
        <f t="shared" si="12"/>
        <v>0.36639014821150728</v>
      </c>
    </row>
    <row r="79" spans="1:13">
      <c r="A79">
        <v>74</v>
      </c>
      <c r="B79">
        <v>78.210999999999999</v>
      </c>
      <c r="C79">
        <v>10.045871999999999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4.63239103447739E-2</v>
      </c>
      <c r="I79">
        <f t="shared" si="8"/>
        <v>0.51157890705768461</v>
      </c>
      <c r="J79">
        <f t="shared" si="9"/>
        <v>1</v>
      </c>
      <c r="K79">
        <f t="shared" si="10"/>
        <v>0</v>
      </c>
      <c r="L79">
        <f t="shared" si="11"/>
        <v>0.51157890705768461</v>
      </c>
      <c r="M79">
        <f t="shared" si="12"/>
        <v>0.67025343949080285</v>
      </c>
    </row>
    <row r="80" spans="1:1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-7.4530721522282262</v>
      </c>
      <c r="I80">
        <f t="shared" si="8"/>
        <v>5.7932226726834716E-4</v>
      </c>
      <c r="J80">
        <f t="shared" si="9"/>
        <v>0</v>
      </c>
      <c r="K80">
        <f t="shared" si="10"/>
        <v>0</v>
      </c>
      <c r="L80">
        <f t="shared" si="11"/>
        <v>0.99942067773273169</v>
      </c>
      <c r="M80">
        <f t="shared" si="12"/>
        <v>5.7949013925077096E-4</v>
      </c>
    </row>
    <row r="81" spans="1:13">
      <c r="A81">
        <v>76</v>
      </c>
      <c r="B81">
        <v>189.78100000000001</v>
      </c>
      <c r="C81">
        <v>35.808132999999998</v>
      </c>
      <c r="D81">
        <v>12.294055999999999</v>
      </c>
      <c r="E81">
        <v>135.55779999999999</v>
      </c>
      <c r="F81">
        <v>170.464</v>
      </c>
      <c r="G81">
        <v>0</v>
      </c>
      <c r="H81">
        <f t="shared" si="7"/>
        <v>-3.2142574530417356</v>
      </c>
      <c r="I81">
        <f t="shared" si="8"/>
        <v>3.8632700774047249E-2</v>
      </c>
      <c r="J81">
        <f t="shared" si="9"/>
        <v>0</v>
      </c>
      <c r="K81">
        <f t="shared" si="10"/>
        <v>0</v>
      </c>
      <c r="L81">
        <f t="shared" si="11"/>
        <v>0.96136729922595276</v>
      </c>
      <c r="M81">
        <f t="shared" si="12"/>
        <v>3.9398737803738197E-2</v>
      </c>
    </row>
    <row r="82" spans="1:13">
      <c r="A82">
        <v>77</v>
      </c>
      <c r="B82">
        <v>267.40940000000001</v>
      </c>
      <c r="C82">
        <v>43.604456999999996</v>
      </c>
      <c r="D82">
        <v>6.1782729999999999</v>
      </c>
      <c r="E82">
        <v>135.9332</v>
      </c>
      <c r="F82">
        <v>206.05850000000001</v>
      </c>
      <c r="G82">
        <v>0</v>
      </c>
      <c r="H82">
        <f t="shared" si="7"/>
        <v>-4.3987461953888571</v>
      </c>
      <c r="I82">
        <f t="shared" si="8"/>
        <v>1.2143466431361424E-2</v>
      </c>
      <c r="J82">
        <f t="shared" si="9"/>
        <v>0</v>
      </c>
      <c r="K82">
        <f t="shared" si="10"/>
        <v>0</v>
      </c>
      <c r="L82">
        <f t="shared" si="11"/>
        <v>0.98785653356863856</v>
      </c>
      <c r="M82">
        <f t="shared" si="12"/>
        <v>1.2217800716732822E-2</v>
      </c>
    </row>
    <row r="83" spans="1:1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-12.105380868694983</v>
      </c>
      <c r="I83">
        <f t="shared" si="8"/>
        <v>5.5296479939206184E-6</v>
      </c>
      <c r="J83">
        <f t="shared" si="9"/>
        <v>0</v>
      </c>
      <c r="K83">
        <f t="shared" si="10"/>
        <v>0</v>
      </c>
      <c r="L83">
        <f t="shared" si="11"/>
        <v>0.99999447035200606</v>
      </c>
      <c r="M83">
        <f t="shared" si="12"/>
        <v>5.5296632825002299E-6</v>
      </c>
    </row>
    <row r="84" spans="1:1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-5.7239099583444615</v>
      </c>
      <c r="I84">
        <f t="shared" si="8"/>
        <v>3.2562744430547543E-3</v>
      </c>
      <c r="J84">
        <f t="shared" si="9"/>
        <v>0</v>
      </c>
      <c r="K84">
        <f t="shared" si="10"/>
        <v>0</v>
      </c>
      <c r="L84">
        <f t="shared" si="11"/>
        <v>0.99674372555694524</v>
      </c>
      <c r="M84">
        <f t="shared" si="12"/>
        <v>3.2615876419702134E-3</v>
      </c>
    </row>
    <row r="85" spans="1:1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0.12192622765579131</v>
      </c>
      <c r="I85">
        <f t="shared" si="8"/>
        <v>0.53044385138458172</v>
      </c>
      <c r="J85">
        <f t="shared" si="9"/>
        <v>1</v>
      </c>
      <c r="K85">
        <f t="shared" si="10"/>
        <v>1</v>
      </c>
      <c r="L85">
        <f t="shared" si="11"/>
        <v>0.46955614861541828</v>
      </c>
      <c r="M85">
        <f t="shared" si="12"/>
        <v>0.75596739511930811</v>
      </c>
    </row>
    <row r="86" spans="1:1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0.28097597293299303</v>
      </c>
      <c r="I86">
        <f t="shared" si="8"/>
        <v>0.56978548044779931</v>
      </c>
      <c r="J86">
        <f t="shared" si="9"/>
        <v>1</v>
      </c>
      <c r="K86">
        <f t="shared" si="10"/>
        <v>1</v>
      </c>
      <c r="L86">
        <f t="shared" si="11"/>
        <v>0.43021451955220069</v>
      </c>
      <c r="M86">
        <f t="shared" si="12"/>
        <v>0.8434713120155839</v>
      </c>
    </row>
    <row r="87" spans="1:13">
      <c r="A87">
        <v>82</v>
      </c>
      <c r="B87">
        <v>220.82634999999999</v>
      </c>
      <c r="C87">
        <v>17.761026999999999</v>
      </c>
      <c r="D87">
        <v>3.0764939999999998</v>
      </c>
      <c r="E87">
        <v>217.75540000000001</v>
      </c>
      <c r="F87">
        <v>235.73929999999999</v>
      </c>
      <c r="G87">
        <v>1</v>
      </c>
      <c r="H87">
        <f t="shared" si="7"/>
        <v>-3.9365646011805095</v>
      </c>
      <c r="I87">
        <f t="shared" si="8"/>
        <v>1.9141591144895165E-2</v>
      </c>
      <c r="J87">
        <f t="shared" si="9"/>
        <v>0</v>
      </c>
      <c r="K87">
        <f t="shared" si="10"/>
        <v>1</v>
      </c>
      <c r="L87">
        <f t="shared" si="11"/>
        <v>1.9141591144895165E-2</v>
      </c>
      <c r="M87">
        <f t="shared" si="12"/>
        <v>3.9558917644953975</v>
      </c>
    </row>
    <row r="88" spans="1:1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-0.66329883283107005</v>
      </c>
      <c r="I88">
        <f t="shared" si="8"/>
        <v>0.33999896430033599</v>
      </c>
      <c r="J88">
        <f t="shared" si="9"/>
        <v>0</v>
      </c>
      <c r="K88">
        <f t="shared" si="10"/>
        <v>1</v>
      </c>
      <c r="L88">
        <f t="shared" si="11"/>
        <v>0.33999896430033599</v>
      </c>
      <c r="M88">
        <f t="shared" si="12"/>
        <v>1.0788127075520519</v>
      </c>
    </row>
    <row r="89" spans="1:1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1.7267636935180151</v>
      </c>
      <c r="I89">
        <f t="shared" si="8"/>
        <v>0.8489979929082575</v>
      </c>
      <c r="J89">
        <f t="shared" si="9"/>
        <v>1</v>
      </c>
      <c r="K89">
        <f t="shared" si="10"/>
        <v>0</v>
      </c>
      <c r="L89">
        <f t="shared" si="11"/>
        <v>0.8489979929082575</v>
      </c>
      <c r="M89">
        <f t="shared" si="12"/>
        <v>0.1636984567392408</v>
      </c>
    </row>
    <row r="90" spans="1:1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-24.788000878356737</v>
      </c>
      <c r="I90">
        <f t="shared" si="8"/>
        <v>1.7167537357240812E-11</v>
      </c>
      <c r="J90">
        <f t="shared" si="9"/>
        <v>0</v>
      </c>
      <c r="K90">
        <f t="shared" si="10"/>
        <v>0</v>
      </c>
      <c r="L90">
        <f t="shared" si="11"/>
        <v>0.99999999998283251</v>
      </c>
      <c r="M90">
        <f t="shared" si="12"/>
        <v>1.7167489652228619E-11</v>
      </c>
    </row>
    <row r="91" spans="1:13">
      <c r="A91">
        <v>86</v>
      </c>
      <c r="B91">
        <v>192.02699999999999</v>
      </c>
      <c r="C91">
        <v>30.881526999999998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-3.2933474152748552</v>
      </c>
      <c r="I91">
        <f t="shared" si="8"/>
        <v>3.5800118511729498E-2</v>
      </c>
      <c r="J91">
        <f t="shared" si="9"/>
        <v>0</v>
      </c>
      <c r="K91">
        <f t="shared" si="10"/>
        <v>0</v>
      </c>
      <c r="L91">
        <f t="shared" si="11"/>
        <v>0.96419988148827052</v>
      </c>
      <c r="M91">
        <f t="shared" si="12"/>
        <v>3.6456659922601012E-2</v>
      </c>
    </row>
    <row r="92" spans="1:1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-2.5229906997853631</v>
      </c>
      <c r="I92">
        <f t="shared" si="8"/>
        <v>7.426208089313649E-2</v>
      </c>
      <c r="J92">
        <f t="shared" si="9"/>
        <v>0</v>
      </c>
      <c r="K92">
        <f t="shared" si="10"/>
        <v>0</v>
      </c>
      <c r="L92">
        <f t="shared" si="11"/>
        <v>0.92573791910686354</v>
      </c>
      <c r="M92">
        <f t="shared" si="12"/>
        <v>7.7164109117622684E-2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Xuân Mai</cp:lastModifiedBy>
  <dcterms:created xsi:type="dcterms:W3CDTF">2015-06-05T18:17:00Z</dcterms:created>
  <dcterms:modified xsi:type="dcterms:W3CDTF">2025-11-25T14:00:49Z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99F1A6D529D640D2836B51208EF3FBFC_12</vt:lpwstr>
  </property>
  <property fmtid="{D5CDD505-2E9C-101B-9397-08002B2CF9AE}" pid="3" name="KSOProductBuildVer">
    <vt:lpwstr>1033-12.2.0.23155</vt:lpwstr>
  </property>
</Properties>
</file>